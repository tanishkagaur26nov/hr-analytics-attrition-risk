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sus\Desktop\Assignments\"/>
    </mc:Choice>
  </mc:AlternateContent>
  <bookViews>
    <workbookView xWindow="0" yWindow="0" windowWidth="11970" windowHeight="5190" firstSheet="2" activeTab="6"/>
  </bookViews>
  <sheets>
    <sheet name="RAW_Data" sheetId="1" state="hidden" r:id="rId1"/>
    <sheet name="Lookup_Tables" sheetId="2" state="hidden" r:id="rId2"/>
    <sheet name="Clean_Data" sheetId="3" r:id="rId3"/>
    <sheet name="Pivot" sheetId="7" state="hidden" r:id="rId4"/>
    <sheet name="Risk_Score" sheetId="4" r:id="rId5"/>
    <sheet name="Dashboard" sheetId="6" state="hidden" r:id="rId6"/>
    <sheet name="Dash_board" sheetId="10" r:id="rId7"/>
  </sheets>
  <definedNames>
    <definedName name="_xlnm._FilterDatabase" localSheetId="5" hidden="1">Dashboard!$A$7:$N$27</definedName>
    <definedName name="ExternalData_1" localSheetId="2" hidden="1">'Clean_Data'!$A$1:$L$51</definedName>
    <definedName name="Slicer_Department">#N/A</definedName>
    <definedName name="Slicer_Manager_Name">#N/A</definedName>
    <definedName name="Slicer_Risk_Band">#N/A</definedName>
  </definedNames>
  <calcPr calcId="162913"/>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6" l="1"/>
  <c r="C4" i="10"/>
  <c r="L31" i="4" l="1"/>
  <c r="L35" i="4"/>
  <c r="L39" i="4"/>
  <c r="L43" i="4"/>
  <c r="L46" i="4"/>
  <c r="L47" i="4"/>
  <c r="L50" i="4"/>
  <c r="L51" i="4"/>
  <c r="L54" i="4"/>
  <c r="L55" i="4"/>
  <c r="L8" i="4"/>
  <c r="I44" i="4"/>
  <c r="L44" i="4" s="1"/>
  <c r="I45" i="4"/>
  <c r="L45" i="4" s="1"/>
  <c r="I46" i="4"/>
  <c r="I47" i="4"/>
  <c r="I48" i="4"/>
  <c r="L48" i="4" s="1"/>
  <c r="I49" i="4"/>
  <c r="L49" i="4" s="1"/>
  <c r="I50" i="4"/>
  <c r="I51" i="4"/>
  <c r="I52" i="4"/>
  <c r="L52" i="4" s="1"/>
  <c r="I53" i="4"/>
  <c r="L53" i="4" s="1"/>
  <c r="I54" i="4"/>
  <c r="I55" i="4"/>
  <c r="I56" i="4"/>
  <c r="L56" i="4" s="1"/>
  <c r="I57" i="4"/>
  <c r="L57" i="4" s="1"/>
  <c r="I28" i="4"/>
  <c r="L28" i="4" s="1"/>
  <c r="I29" i="4"/>
  <c r="L29" i="4" s="1"/>
  <c r="I30" i="4"/>
  <c r="L30" i="4" s="1"/>
  <c r="I31" i="4"/>
  <c r="I32" i="4"/>
  <c r="L32" i="4" s="1"/>
  <c r="I33" i="4"/>
  <c r="L33" i="4" s="1"/>
  <c r="I34" i="4"/>
  <c r="L34" i="4" s="1"/>
  <c r="I35" i="4"/>
  <c r="I36" i="4"/>
  <c r="L36" i="4" s="1"/>
  <c r="I37" i="4"/>
  <c r="L37" i="4" s="1"/>
  <c r="I38" i="4"/>
  <c r="L38" i="4" s="1"/>
  <c r="I39" i="4"/>
  <c r="I40" i="4"/>
  <c r="L40" i="4" s="1"/>
  <c r="I41" i="4"/>
  <c r="L41" i="4" s="1"/>
  <c r="I42" i="4"/>
  <c r="L42" i="4" s="1"/>
  <c r="I43" i="4"/>
  <c r="I9" i="4"/>
  <c r="L9" i="4" s="1"/>
  <c r="I10" i="4"/>
  <c r="L10" i="4" s="1"/>
  <c r="I11" i="4"/>
  <c r="L11" i="4" s="1"/>
  <c r="I12" i="4"/>
  <c r="L12" i="4" s="1"/>
  <c r="I13" i="4"/>
  <c r="L13" i="4" s="1"/>
  <c r="I14" i="4"/>
  <c r="L14" i="4" s="1"/>
  <c r="I15" i="4"/>
  <c r="L15" i="4" s="1"/>
  <c r="I16" i="4"/>
  <c r="L16" i="4" s="1"/>
  <c r="I17" i="4"/>
  <c r="L17" i="4" s="1"/>
  <c r="I18" i="4"/>
  <c r="L18" i="4" s="1"/>
  <c r="I19" i="4"/>
  <c r="L19" i="4" s="1"/>
  <c r="I20" i="4"/>
  <c r="L20" i="4" s="1"/>
  <c r="I21" i="4"/>
  <c r="L21" i="4" s="1"/>
  <c r="I22" i="4"/>
  <c r="L22" i="4" s="1"/>
  <c r="I23" i="4"/>
  <c r="L23" i="4" s="1"/>
  <c r="I24" i="4"/>
  <c r="L24" i="4" s="1"/>
  <c r="I25" i="4"/>
  <c r="L25" i="4" s="1"/>
  <c r="I26" i="4"/>
  <c r="L26" i="4" s="1"/>
  <c r="I27" i="4"/>
  <c r="L27" i="4" s="1"/>
  <c r="I8" i="4"/>
  <c r="H9" i="4"/>
  <c r="K9" i="4" s="1"/>
  <c r="H10" i="4"/>
  <c r="K10" i="4" s="1"/>
  <c r="H11" i="4"/>
  <c r="K11" i="4" s="1"/>
  <c r="H12" i="4"/>
  <c r="K12" i="4" s="1"/>
  <c r="H13" i="4"/>
  <c r="K13" i="4" s="1"/>
  <c r="H14" i="4"/>
  <c r="K14" i="4" s="1"/>
  <c r="H15" i="4"/>
  <c r="K15" i="4" s="1"/>
  <c r="H16" i="4"/>
  <c r="K16" i="4" s="1"/>
  <c r="H17" i="4"/>
  <c r="K17" i="4" s="1"/>
  <c r="H18" i="4"/>
  <c r="K18" i="4" s="1"/>
  <c r="H19" i="4"/>
  <c r="K19" i="4" s="1"/>
  <c r="H20" i="4"/>
  <c r="K20" i="4" s="1"/>
  <c r="H21" i="4"/>
  <c r="K21" i="4" s="1"/>
  <c r="H22" i="4"/>
  <c r="K22" i="4" s="1"/>
  <c r="H23" i="4"/>
  <c r="K23" i="4" s="1"/>
  <c r="H24" i="4"/>
  <c r="K24" i="4" s="1"/>
  <c r="H25" i="4"/>
  <c r="K25" i="4" s="1"/>
  <c r="H26" i="4"/>
  <c r="K26" i="4" s="1"/>
  <c r="H27" i="4"/>
  <c r="K27" i="4" s="1"/>
  <c r="H28" i="4"/>
  <c r="K28" i="4" s="1"/>
  <c r="H29" i="4"/>
  <c r="K29" i="4" s="1"/>
  <c r="H30" i="4"/>
  <c r="K30" i="4" s="1"/>
  <c r="H31" i="4"/>
  <c r="K31" i="4" s="1"/>
  <c r="H32" i="4"/>
  <c r="K32" i="4" s="1"/>
  <c r="H33" i="4"/>
  <c r="K33" i="4" s="1"/>
  <c r="H34" i="4"/>
  <c r="K34" i="4" s="1"/>
  <c r="H35" i="4"/>
  <c r="K35" i="4" s="1"/>
  <c r="H36" i="4"/>
  <c r="K36" i="4" s="1"/>
  <c r="H37" i="4"/>
  <c r="K37" i="4" s="1"/>
  <c r="H38" i="4"/>
  <c r="K38" i="4" s="1"/>
  <c r="H39" i="4"/>
  <c r="K39" i="4" s="1"/>
  <c r="H40" i="4"/>
  <c r="K40" i="4" s="1"/>
  <c r="H41" i="4"/>
  <c r="K41" i="4" s="1"/>
  <c r="H42" i="4"/>
  <c r="K42" i="4" s="1"/>
  <c r="H43" i="4"/>
  <c r="K43" i="4" s="1"/>
  <c r="H44" i="4"/>
  <c r="K44" i="4" s="1"/>
  <c r="H45" i="4"/>
  <c r="K45" i="4" s="1"/>
  <c r="H46" i="4"/>
  <c r="K46" i="4" s="1"/>
  <c r="H47" i="4"/>
  <c r="K47" i="4" s="1"/>
  <c r="H48" i="4"/>
  <c r="K48" i="4" s="1"/>
  <c r="H49" i="4"/>
  <c r="K49" i="4" s="1"/>
  <c r="H50" i="4"/>
  <c r="K50" i="4" s="1"/>
  <c r="H51" i="4"/>
  <c r="K51" i="4" s="1"/>
  <c r="H52" i="4"/>
  <c r="K52" i="4" s="1"/>
  <c r="H53" i="4"/>
  <c r="K53" i="4" s="1"/>
  <c r="H54" i="4"/>
  <c r="K54" i="4" s="1"/>
  <c r="H55" i="4"/>
  <c r="K55" i="4" s="1"/>
  <c r="H56" i="4"/>
  <c r="K56" i="4" s="1"/>
  <c r="H57" i="4"/>
  <c r="K57" i="4" s="1"/>
  <c r="H8" i="4"/>
  <c r="K8" i="4" s="1"/>
  <c r="F52" i="4"/>
  <c r="G52" i="4" s="1"/>
  <c r="F53" i="4"/>
  <c r="G53" i="4" s="1"/>
  <c r="F54" i="4"/>
  <c r="G54" i="4" s="1"/>
  <c r="F55" i="4"/>
  <c r="G55" i="4" s="1"/>
  <c r="F56" i="4"/>
  <c r="G56" i="4" s="1"/>
  <c r="F57" i="4"/>
  <c r="G57" i="4" s="1"/>
  <c r="F43" i="4"/>
  <c r="G43" i="4" s="1"/>
  <c r="F44" i="4"/>
  <c r="G44" i="4" s="1"/>
  <c r="F45" i="4"/>
  <c r="G45" i="4" s="1"/>
  <c r="F46" i="4"/>
  <c r="G46" i="4" s="1"/>
  <c r="F47" i="4"/>
  <c r="G47" i="4" s="1"/>
  <c r="F48" i="4"/>
  <c r="G48" i="4" s="1"/>
  <c r="F49" i="4"/>
  <c r="G49" i="4" s="1"/>
  <c r="F50" i="4"/>
  <c r="G50" i="4" s="1"/>
  <c r="F51" i="4"/>
  <c r="G51" i="4" s="1"/>
  <c r="F31" i="4"/>
  <c r="G31" i="4" s="1"/>
  <c r="F32" i="4"/>
  <c r="G32" i="4" s="1"/>
  <c r="F33" i="4"/>
  <c r="G33" i="4" s="1"/>
  <c r="F34" i="4"/>
  <c r="G34" i="4" s="1"/>
  <c r="F35" i="4"/>
  <c r="G35" i="4" s="1"/>
  <c r="F36" i="4"/>
  <c r="G36" i="4" s="1"/>
  <c r="F37" i="4"/>
  <c r="G37" i="4" s="1"/>
  <c r="F38" i="4"/>
  <c r="G38" i="4" s="1"/>
  <c r="F39" i="4"/>
  <c r="G39" i="4" s="1"/>
  <c r="F40" i="4"/>
  <c r="G40" i="4" s="1"/>
  <c r="F41" i="4"/>
  <c r="G41" i="4" s="1"/>
  <c r="F42" i="4"/>
  <c r="G42" i="4" s="1"/>
  <c r="F20" i="4"/>
  <c r="G20" i="4" s="1"/>
  <c r="F21" i="4"/>
  <c r="G21" i="4" s="1"/>
  <c r="F22" i="4"/>
  <c r="G22" i="4" s="1"/>
  <c r="F23" i="4"/>
  <c r="G23" i="4" s="1"/>
  <c r="F24" i="4"/>
  <c r="G24" i="4" s="1"/>
  <c r="F25" i="4"/>
  <c r="G25" i="4" s="1"/>
  <c r="F26" i="4"/>
  <c r="G26" i="4" s="1"/>
  <c r="F27" i="4"/>
  <c r="G27" i="4" s="1"/>
  <c r="F28" i="4"/>
  <c r="G28" i="4" s="1"/>
  <c r="F29" i="4"/>
  <c r="G29" i="4" s="1"/>
  <c r="F30" i="4"/>
  <c r="G30" i="4" s="1"/>
  <c r="F9" i="4"/>
  <c r="G9" i="4" s="1"/>
  <c r="F10" i="4"/>
  <c r="G10" i="4" s="1"/>
  <c r="F11" i="4"/>
  <c r="G11" i="4" s="1"/>
  <c r="F12" i="4"/>
  <c r="G12" i="4" s="1"/>
  <c r="F13" i="4"/>
  <c r="G13" i="4" s="1"/>
  <c r="F14" i="4"/>
  <c r="G14" i="4" s="1"/>
  <c r="F15" i="4"/>
  <c r="G15" i="4" s="1"/>
  <c r="F16" i="4"/>
  <c r="G16" i="4" s="1"/>
  <c r="F17" i="4"/>
  <c r="G17" i="4" s="1"/>
  <c r="F18" i="4"/>
  <c r="G18" i="4" s="1"/>
  <c r="F19" i="4"/>
  <c r="G19" i="4" s="1"/>
  <c r="F8" i="4"/>
  <c r="G8" i="4" s="1"/>
  <c r="E47" i="4"/>
  <c r="J47" i="4" s="1"/>
  <c r="E51" i="4"/>
  <c r="J51" i="4" s="1"/>
  <c r="E55" i="4"/>
  <c r="J55" i="4" s="1"/>
  <c r="M55" i="4" s="1"/>
  <c r="N55" i="4" s="1"/>
  <c r="E35" i="4"/>
  <c r="J35" i="4" s="1"/>
  <c r="E39" i="4"/>
  <c r="J39" i="4" s="1"/>
  <c r="E43" i="4"/>
  <c r="J43" i="4" s="1"/>
  <c r="E21" i="4"/>
  <c r="J21" i="4" s="1"/>
  <c r="E25" i="4"/>
  <c r="J25" i="4" s="1"/>
  <c r="E29" i="4"/>
  <c r="J29" i="4" s="1"/>
  <c r="E33" i="4"/>
  <c r="J33" i="4" s="1"/>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8" i="4"/>
  <c r="B41" i="4"/>
  <c r="E41" i="4" s="1"/>
  <c r="J41" i="4" s="1"/>
  <c r="B42" i="4"/>
  <c r="E42" i="4" s="1"/>
  <c r="J42" i="4" s="1"/>
  <c r="B43" i="4"/>
  <c r="B44" i="4"/>
  <c r="E44" i="4" s="1"/>
  <c r="J44" i="4" s="1"/>
  <c r="B45" i="4"/>
  <c r="E45" i="4" s="1"/>
  <c r="J45" i="4" s="1"/>
  <c r="B46" i="4"/>
  <c r="E46" i="4" s="1"/>
  <c r="J46" i="4" s="1"/>
  <c r="B47" i="4"/>
  <c r="B48" i="4"/>
  <c r="E48" i="4" s="1"/>
  <c r="J48" i="4" s="1"/>
  <c r="B49" i="4"/>
  <c r="E49" i="4" s="1"/>
  <c r="J49" i="4" s="1"/>
  <c r="B50" i="4"/>
  <c r="E50" i="4" s="1"/>
  <c r="J50" i="4" s="1"/>
  <c r="B51" i="4"/>
  <c r="B52" i="4"/>
  <c r="E52" i="4" s="1"/>
  <c r="J52" i="4" s="1"/>
  <c r="B53" i="4"/>
  <c r="E53" i="4" s="1"/>
  <c r="J53" i="4" s="1"/>
  <c r="B54" i="4"/>
  <c r="E54" i="4" s="1"/>
  <c r="J54" i="4" s="1"/>
  <c r="B55" i="4"/>
  <c r="B56" i="4"/>
  <c r="E56" i="4" s="1"/>
  <c r="J56" i="4" s="1"/>
  <c r="B57" i="4"/>
  <c r="E57" i="4" s="1"/>
  <c r="J57" i="4" s="1"/>
  <c r="B9" i="4"/>
  <c r="E9" i="4" s="1"/>
  <c r="J9" i="4" s="1"/>
  <c r="B10" i="4"/>
  <c r="E10" i="4" s="1"/>
  <c r="J10" i="4" s="1"/>
  <c r="B11" i="4"/>
  <c r="E11" i="4" s="1"/>
  <c r="J11" i="4" s="1"/>
  <c r="B12" i="4"/>
  <c r="E12" i="4" s="1"/>
  <c r="J12" i="4" s="1"/>
  <c r="B13" i="4"/>
  <c r="E13" i="4" s="1"/>
  <c r="J13" i="4" s="1"/>
  <c r="B14" i="4"/>
  <c r="E14" i="4" s="1"/>
  <c r="J14" i="4" s="1"/>
  <c r="B15" i="4"/>
  <c r="E15" i="4" s="1"/>
  <c r="J15" i="4" s="1"/>
  <c r="B16" i="4"/>
  <c r="E16" i="4" s="1"/>
  <c r="J16" i="4" s="1"/>
  <c r="B17" i="4"/>
  <c r="E17" i="4" s="1"/>
  <c r="J17" i="4" s="1"/>
  <c r="B18" i="4"/>
  <c r="E18" i="4" s="1"/>
  <c r="J18" i="4" s="1"/>
  <c r="B19" i="4"/>
  <c r="E19" i="4" s="1"/>
  <c r="J19" i="4" s="1"/>
  <c r="B20" i="4"/>
  <c r="E20" i="4" s="1"/>
  <c r="J20" i="4" s="1"/>
  <c r="B21" i="4"/>
  <c r="B22" i="4"/>
  <c r="E22" i="4" s="1"/>
  <c r="J22" i="4" s="1"/>
  <c r="B23" i="4"/>
  <c r="E23" i="4" s="1"/>
  <c r="J23" i="4" s="1"/>
  <c r="B24" i="4"/>
  <c r="E24" i="4" s="1"/>
  <c r="J24" i="4" s="1"/>
  <c r="B25" i="4"/>
  <c r="B26" i="4"/>
  <c r="E26" i="4" s="1"/>
  <c r="J26" i="4" s="1"/>
  <c r="B27" i="4"/>
  <c r="E27" i="4" s="1"/>
  <c r="J27" i="4" s="1"/>
  <c r="B28" i="4"/>
  <c r="E28" i="4" s="1"/>
  <c r="J28" i="4" s="1"/>
  <c r="B29" i="4"/>
  <c r="B30" i="4"/>
  <c r="E30" i="4" s="1"/>
  <c r="J30" i="4" s="1"/>
  <c r="B31" i="4"/>
  <c r="E31" i="4" s="1"/>
  <c r="J31" i="4" s="1"/>
  <c r="B32" i="4"/>
  <c r="E32" i="4" s="1"/>
  <c r="J32" i="4" s="1"/>
  <c r="B33" i="4"/>
  <c r="B34" i="4"/>
  <c r="E34" i="4" s="1"/>
  <c r="J34" i="4" s="1"/>
  <c r="B35" i="4"/>
  <c r="B36" i="4"/>
  <c r="E36" i="4" s="1"/>
  <c r="J36" i="4" s="1"/>
  <c r="B37" i="4"/>
  <c r="E37" i="4" s="1"/>
  <c r="J37" i="4" s="1"/>
  <c r="B38" i="4"/>
  <c r="E38" i="4" s="1"/>
  <c r="J38" i="4" s="1"/>
  <c r="B39" i="4"/>
  <c r="B40" i="4"/>
  <c r="E40" i="4" s="1"/>
  <c r="J40" i="4" s="1"/>
  <c r="B8" i="4"/>
  <c r="E8" i="4" s="1"/>
  <c r="J8" i="4" s="1"/>
  <c r="A46" i="4"/>
  <c r="A47" i="4"/>
  <c r="A48" i="4"/>
  <c r="A49" i="4"/>
  <c r="A50" i="4"/>
  <c r="A51" i="4"/>
  <c r="A52" i="4"/>
  <c r="A53" i="4"/>
  <c r="A54" i="4"/>
  <c r="A55" i="4"/>
  <c r="A56" i="4"/>
  <c r="A57" i="4"/>
  <c r="A32" i="4"/>
  <c r="A33" i="4"/>
  <c r="A34" i="4"/>
  <c r="A35" i="4"/>
  <c r="A36" i="4"/>
  <c r="A37" i="4"/>
  <c r="A38" i="4"/>
  <c r="A39" i="4"/>
  <c r="A40" i="4"/>
  <c r="A41" i="4"/>
  <c r="A42" i="4"/>
  <c r="A43" i="4"/>
  <c r="A44" i="4"/>
  <c r="A45" i="4"/>
  <c r="A9" i="4"/>
  <c r="A10" i="4"/>
  <c r="A11" i="4"/>
  <c r="A12" i="4"/>
  <c r="A13" i="4"/>
  <c r="A14" i="4"/>
  <c r="A15" i="4"/>
  <c r="A16" i="4"/>
  <c r="A17" i="4"/>
  <c r="A18" i="4"/>
  <c r="A19" i="4"/>
  <c r="A20" i="4"/>
  <c r="A21" i="4"/>
  <c r="A22" i="4"/>
  <c r="A23" i="4"/>
  <c r="A24" i="4"/>
  <c r="A25" i="4"/>
  <c r="A26" i="4"/>
  <c r="A27" i="4"/>
  <c r="A28" i="4"/>
  <c r="A29" i="4"/>
  <c r="A30" i="4"/>
  <c r="A31" i="4"/>
  <c r="A8" i="4"/>
  <c r="M47" i="4" l="1"/>
  <c r="N47" i="4" s="1"/>
  <c r="M43" i="4"/>
  <c r="N43" i="4" s="1"/>
  <c r="M51" i="4"/>
  <c r="N51" i="4" s="1"/>
  <c r="M39" i="4"/>
  <c r="N39" i="4" s="1"/>
  <c r="M35" i="4"/>
  <c r="N35" i="4" s="1"/>
  <c r="M40" i="4"/>
  <c r="N40" i="4" s="1"/>
  <c r="M36" i="4"/>
  <c r="N36" i="4" s="1"/>
  <c r="M8" i="4"/>
  <c r="M37" i="4"/>
  <c r="N37" i="4" s="1"/>
  <c r="M54" i="4"/>
  <c r="N54" i="4" s="1"/>
  <c r="M50" i="4"/>
  <c r="N50" i="4" s="1"/>
  <c r="M46" i="4"/>
  <c r="N46" i="4" s="1"/>
  <c r="M57" i="4"/>
  <c r="N57" i="4" s="1"/>
  <c r="M49" i="4"/>
  <c r="N49" i="4" s="1"/>
  <c r="M45" i="4"/>
  <c r="N45" i="4" s="1"/>
  <c r="M41" i="4"/>
  <c r="N41" i="4" s="1"/>
  <c r="M48" i="4"/>
  <c r="N48" i="4" s="1"/>
  <c r="M44" i="4"/>
  <c r="N44" i="4" s="1"/>
  <c r="M38" i="4"/>
  <c r="N38" i="4" s="1"/>
  <c r="M34" i="4"/>
  <c r="N34" i="4" s="1"/>
  <c r="M52" i="4"/>
  <c r="N52" i="4" s="1"/>
  <c r="M42" i="4"/>
  <c r="N42" i="4" s="1"/>
  <c r="M56" i="4"/>
  <c r="M53" i="4"/>
  <c r="M17" i="4"/>
  <c r="M13" i="4"/>
  <c r="M9" i="4"/>
  <c r="M33" i="4"/>
  <c r="M29" i="4"/>
  <c r="M25" i="4"/>
  <c r="M21" i="4"/>
  <c r="M32" i="4"/>
  <c r="M28" i="4"/>
  <c r="M24" i="4"/>
  <c r="M20" i="4"/>
  <c r="M16" i="4"/>
  <c r="M12" i="4"/>
  <c r="M15" i="4"/>
  <c r="M11" i="4"/>
  <c r="M18" i="4"/>
  <c r="M14" i="4"/>
  <c r="M10" i="4"/>
  <c r="M30" i="4"/>
  <c r="M26" i="4"/>
  <c r="M22" i="4"/>
  <c r="M31" i="4"/>
  <c r="M27" i="4"/>
  <c r="M23" i="4"/>
  <c r="M19" i="4"/>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N8" i="4" l="1"/>
  <c r="O4" i="10"/>
  <c r="N23" i="4"/>
  <c r="O23" i="4"/>
  <c r="N26" i="4"/>
  <c r="O26" i="4"/>
  <c r="N18" i="4"/>
  <c r="O18" i="4"/>
  <c r="N16" i="4"/>
  <c r="O16" i="4"/>
  <c r="N32" i="4"/>
  <c r="O32" i="4"/>
  <c r="N33" i="4"/>
  <c r="O33" i="4"/>
  <c r="N53" i="4"/>
  <c r="O53" i="4"/>
  <c r="O45" i="4"/>
  <c r="O38" i="4"/>
  <c r="O54" i="4"/>
  <c r="O47" i="4"/>
  <c r="O40" i="4"/>
  <c r="N27" i="4"/>
  <c r="O27" i="4"/>
  <c r="N30" i="4"/>
  <c r="O30" i="4"/>
  <c r="N11" i="4"/>
  <c r="O11" i="4"/>
  <c r="N20" i="4"/>
  <c r="O20" i="4"/>
  <c r="N21" i="4"/>
  <c r="O21" i="4"/>
  <c r="O9" i="4"/>
  <c r="N56" i="4"/>
  <c r="O56" i="4"/>
  <c r="O49" i="4"/>
  <c r="O42" i="4"/>
  <c r="O35" i="4"/>
  <c r="O51" i="4"/>
  <c r="O44" i="4"/>
  <c r="N31" i="4"/>
  <c r="O31" i="4"/>
  <c r="N10" i="4"/>
  <c r="O10" i="4"/>
  <c r="N15" i="4"/>
  <c r="O15" i="4"/>
  <c r="N24" i="4"/>
  <c r="O24" i="4"/>
  <c r="N25" i="4"/>
  <c r="O25" i="4"/>
  <c r="N13" i="4"/>
  <c r="O13" i="4"/>
  <c r="O37" i="4"/>
  <c r="O57" i="4"/>
  <c r="O46" i="4"/>
  <c r="O39" i="4"/>
  <c r="O55" i="4"/>
  <c r="O48" i="4"/>
  <c r="N19" i="4"/>
  <c r="O19" i="4"/>
  <c r="N22" i="4"/>
  <c r="O22" i="4"/>
  <c r="N14" i="4"/>
  <c r="O14" i="4"/>
  <c r="N12" i="4"/>
  <c r="O12" i="4"/>
  <c r="N28" i="4"/>
  <c r="O28" i="4"/>
  <c r="N29" i="4"/>
  <c r="O29" i="4"/>
  <c r="N17" i="4"/>
  <c r="O17" i="4"/>
  <c r="O41" i="4"/>
  <c r="O34" i="4"/>
  <c r="O50" i="4"/>
  <c r="O43" i="4"/>
  <c r="O36" i="4"/>
  <c r="O52" i="4"/>
  <c r="O8" i="4"/>
  <c r="N9" i="4"/>
  <c r="N5" i="6"/>
  <c r="I4" i="10" l="1"/>
  <c r="L4" i="10"/>
  <c r="F4" i="10"/>
  <c r="H19" i="6"/>
  <c r="D27" i="6"/>
  <c r="D26" i="6"/>
  <c r="D25" i="6"/>
  <c r="D24" i="6"/>
  <c r="D23" i="6"/>
  <c r="D22" i="6"/>
  <c r="D21" i="6"/>
  <c r="D20" i="6"/>
  <c r="D19" i="6"/>
  <c r="D18" i="6"/>
  <c r="D17" i="6"/>
  <c r="D16" i="6"/>
  <c r="D15" i="6"/>
  <c r="D14" i="6"/>
  <c r="D13" i="6"/>
  <c r="D12" i="6"/>
  <c r="D11" i="6"/>
  <c r="D10" i="6"/>
  <c r="D9" i="6"/>
  <c r="D8" i="6"/>
  <c r="N27" i="6"/>
  <c r="N26" i="6"/>
  <c r="N25" i="6"/>
  <c r="N24" i="6"/>
  <c r="N23" i="6"/>
  <c r="N22" i="6"/>
  <c r="N21" i="6"/>
  <c r="N20" i="6"/>
  <c r="N19" i="6"/>
  <c r="N18" i="6"/>
  <c r="N17" i="6"/>
  <c r="N16" i="6"/>
  <c r="N15" i="6"/>
  <c r="N14" i="6"/>
  <c r="N13" i="6"/>
  <c r="N12" i="6"/>
  <c r="N11" i="6"/>
  <c r="N10" i="6"/>
  <c r="N9" i="6"/>
  <c r="N8" i="6"/>
  <c r="M27" i="6"/>
  <c r="M26" i="6"/>
  <c r="M25" i="6"/>
  <c r="M24" i="6"/>
  <c r="M23" i="6"/>
  <c r="M22" i="6"/>
  <c r="M21" i="6"/>
  <c r="M20" i="6"/>
  <c r="M19" i="6"/>
  <c r="M18" i="6"/>
  <c r="M17" i="6"/>
  <c r="M16" i="6"/>
  <c r="M15" i="6"/>
  <c r="M14" i="6"/>
  <c r="M13" i="6"/>
  <c r="M12" i="6"/>
  <c r="M11" i="6"/>
  <c r="M10" i="6"/>
  <c r="M9" i="6"/>
  <c r="M8" i="6"/>
  <c r="L27" i="6"/>
  <c r="L26" i="6"/>
  <c r="L24" i="6"/>
  <c r="L25" i="6"/>
  <c r="L23" i="6"/>
  <c r="L22" i="6"/>
  <c r="L21" i="6"/>
  <c r="L20" i="6"/>
  <c r="L19" i="6"/>
  <c r="L18" i="6"/>
  <c r="L17" i="6"/>
  <c r="L16" i="6"/>
  <c r="L15" i="6"/>
  <c r="L14" i="6"/>
  <c r="L13" i="6"/>
  <c r="L12" i="6"/>
  <c r="L11" i="6"/>
  <c r="L10" i="6"/>
  <c r="L9" i="6"/>
  <c r="L8" i="6"/>
  <c r="K27" i="6"/>
  <c r="K26" i="6"/>
  <c r="K25" i="6"/>
  <c r="K24" i="6"/>
  <c r="K23" i="6"/>
  <c r="K22" i="6"/>
  <c r="K21" i="6"/>
  <c r="K20" i="6"/>
  <c r="K19" i="6"/>
  <c r="K18" i="6"/>
  <c r="K17" i="6"/>
  <c r="K16" i="6"/>
  <c r="K15" i="6"/>
  <c r="K14" i="6"/>
  <c r="K13" i="6"/>
  <c r="K12" i="6"/>
  <c r="K11" i="6"/>
  <c r="K10" i="6"/>
  <c r="K9" i="6"/>
  <c r="K8" i="6"/>
  <c r="J27" i="6"/>
  <c r="J26" i="6"/>
  <c r="J25" i="6"/>
  <c r="J24" i="6"/>
  <c r="J23" i="6"/>
  <c r="J22" i="6"/>
  <c r="J21" i="6"/>
  <c r="J20" i="6"/>
  <c r="J19" i="6"/>
  <c r="J18" i="6"/>
  <c r="J17" i="6"/>
  <c r="J16" i="6"/>
  <c r="J15" i="6"/>
  <c r="J14" i="6"/>
  <c r="J13" i="6"/>
  <c r="J12" i="6"/>
  <c r="J11" i="6"/>
  <c r="J10" i="6"/>
  <c r="J9" i="6"/>
  <c r="J8" i="6"/>
  <c r="I27" i="6"/>
  <c r="I26" i="6"/>
  <c r="I25" i="6"/>
  <c r="I24" i="6"/>
  <c r="I23" i="6"/>
  <c r="I22" i="6"/>
  <c r="I21" i="6"/>
  <c r="I20" i="6"/>
  <c r="I19" i="6"/>
  <c r="I18" i="6"/>
  <c r="I17" i="6"/>
  <c r="I16" i="6"/>
  <c r="I15" i="6"/>
  <c r="I14" i="6"/>
  <c r="I13" i="6"/>
  <c r="I12" i="6"/>
  <c r="I11" i="6"/>
  <c r="I10" i="6"/>
  <c r="I9" i="6"/>
  <c r="I8" i="6"/>
  <c r="H27" i="6"/>
  <c r="H26" i="6"/>
  <c r="H25" i="6"/>
  <c r="H24" i="6"/>
  <c r="H23" i="6"/>
  <c r="H22" i="6"/>
  <c r="H21" i="6"/>
  <c r="H20" i="6"/>
  <c r="H18" i="6"/>
  <c r="H17" i="6"/>
  <c r="H16" i="6"/>
  <c r="H15" i="6"/>
  <c r="H14" i="6"/>
  <c r="H13" i="6"/>
  <c r="H12" i="6"/>
  <c r="H11" i="6"/>
  <c r="H10" i="6"/>
  <c r="H9" i="6"/>
  <c r="H8" i="6"/>
  <c r="G27" i="6"/>
  <c r="G26" i="6"/>
  <c r="G25" i="6"/>
  <c r="G24" i="6"/>
  <c r="G23" i="6"/>
  <c r="G22" i="6"/>
  <c r="G21" i="6"/>
  <c r="G20" i="6"/>
  <c r="G19" i="6"/>
  <c r="G18" i="6"/>
  <c r="G17" i="6"/>
  <c r="G16" i="6"/>
  <c r="G15" i="6"/>
  <c r="G14" i="6"/>
  <c r="G13" i="6"/>
  <c r="G12" i="6"/>
  <c r="G11" i="6"/>
  <c r="G10" i="6"/>
  <c r="G9" i="6"/>
  <c r="G8" i="6"/>
  <c r="F27" i="6"/>
  <c r="F26" i="6"/>
  <c r="F25" i="6"/>
  <c r="F24" i="6"/>
  <c r="F23" i="6"/>
  <c r="F22" i="6"/>
  <c r="F21" i="6"/>
  <c r="F20" i="6"/>
  <c r="F19" i="6"/>
  <c r="F18" i="6"/>
  <c r="F17" i="6"/>
  <c r="F16" i="6"/>
  <c r="F15" i="6"/>
  <c r="F14" i="6"/>
  <c r="F13" i="6"/>
  <c r="F12" i="6"/>
  <c r="F11" i="6"/>
  <c r="F10" i="6"/>
  <c r="F9" i="6"/>
  <c r="F8" i="6"/>
  <c r="E27" i="6"/>
  <c r="E26" i="6"/>
  <c r="E25" i="6"/>
  <c r="E24" i="6"/>
  <c r="E23" i="6"/>
  <c r="E22" i="6"/>
  <c r="E21" i="6"/>
  <c r="E20" i="6"/>
  <c r="E19" i="6"/>
  <c r="E18" i="6"/>
  <c r="E17" i="6"/>
  <c r="E16" i="6"/>
  <c r="E15" i="6"/>
  <c r="E14" i="6"/>
  <c r="E13" i="6"/>
  <c r="E12" i="6"/>
  <c r="E11" i="6"/>
  <c r="E10" i="6"/>
  <c r="E9" i="6"/>
  <c r="E8" i="6"/>
  <c r="B27" i="6"/>
  <c r="B26" i="6"/>
  <c r="B25" i="6"/>
  <c r="B24" i="6"/>
  <c r="B23" i="6"/>
  <c r="B22" i="6"/>
  <c r="B21" i="6"/>
  <c r="B20" i="6"/>
  <c r="B19" i="6"/>
  <c r="B18" i="6"/>
  <c r="B17" i="6"/>
  <c r="B16" i="6"/>
  <c r="B15" i="6"/>
  <c r="B14" i="6"/>
  <c r="B13" i="6"/>
  <c r="B12" i="6"/>
  <c r="B11" i="6"/>
  <c r="B10" i="6"/>
  <c r="B9" i="6"/>
  <c r="B8" i="6"/>
  <c r="C27" i="6"/>
  <c r="C26" i="6"/>
  <c r="C25" i="6"/>
  <c r="C24" i="6"/>
  <c r="C23" i="6"/>
  <c r="C22" i="6"/>
  <c r="C21" i="6"/>
  <c r="C20" i="6"/>
  <c r="C19" i="6"/>
  <c r="C18" i="6"/>
  <c r="C17" i="6"/>
  <c r="C16" i="6"/>
  <c r="C15" i="6"/>
  <c r="C14" i="6"/>
  <c r="C13" i="6"/>
  <c r="C12" i="6"/>
  <c r="C11" i="6"/>
  <c r="C10" i="6"/>
  <c r="C9" i="6"/>
  <c r="C8" i="6"/>
  <c r="H5" i="6"/>
  <c r="E5" i="6"/>
  <c r="K5" i="6"/>
</calcChain>
</file>

<file path=xl/connections.xml><?xml version="1.0" encoding="utf-8"?>
<connections xmlns="http://schemas.openxmlformats.org/spreadsheetml/2006/main">
  <connection id="1" keepAlive="1" name="Query - Clean_Data" description="Connection to the 'Clean_Data' query in the workbook." type="5" refreshedVersion="6" background="1" saveData="1">
    <dbPr connection="Provider=Microsoft.Mashup.OleDb.1;Data Source=$Workbook$;Location=Clean_Data;Extended Properties=&quot;&quot;" command="SELECT * FROM [Clean_Data]"/>
  </connection>
</connections>
</file>

<file path=xl/sharedStrings.xml><?xml version="1.0" encoding="utf-8"?>
<sst xmlns="http://schemas.openxmlformats.org/spreadsheetml/2006/main" count="1031" uniqueCount="364">
  <si>
    <t>EmpID</t>
  </si>
  <si>
    <t>Full Name</t>
  </si>
  <si>
    <t>Department</t>
  </si>
  <si>
    <t>Hire Date</t>
  </si>
  <si>
    <t>Date of Birth</t>
  </si>
  <si>
    <t>Last Promotion Date</t>
  </si>
  <si>
    <t>Performance Rating (1-5)</t>
  </si>
  <si>
    <t>Manager ID</t>
  </si>
  <si>
    <t>Monthly Salary</t>
  </si>
  <si>
    <t>Status</t>
  </si>
  <si>
    <t>Gender</t>
  </si>
  <si>
    <t>City</t>
  </si>
  <si>
    <t>EMP2824</t>
  </si>
  <si>
    <t>Priya Trivedi</t>
  </si>
  <si>
    <t>Marketing</t>
  </si>
  <si>
    <t>05/04/2013</t>
  </si>
  <si>
    <t>22/02/1968</t>
  </si>
  <si>
    <t>19-02-2018</t>
  </si>
  <si>
    <t>M01</t>
  </si>
  <si>
    <t>active</t>
  </si>
  <si>
    <t>Male</t>
  </si>
  <si>
    <t>Delhi</t>
  </si>
  <si>
    <t>EMP1106</t>
  </si>
  <si>
    <t>Kapil Pandey</t>
  </si>
  <si>
    <t>IT</t>
  </si>
  <si>
    <t>05-05-2015</t>
  </si>
  <si>
    <t>04 Jun 1987</t>
  </si>
  <si>
    <t>04/07/2016</t>
  </si>
  <si>
    <t>M06</t>
  </si>
  <si>
    <t>ACTIVE</t>
  </si>
  <si>
    <t>Female</t>
  </si>
  <si>
    <t>Kolkata</t>
  </si>
  <si>
    <t>EMP6925</t>
  </si>
  <si>
    <t>Pranav Agarwal</t>
  </si>
  <si>
    <t>Engineering</t>
  </si>
  <si>
    <t>11/08/2010</t>
  </si>
  <si>
    <t>1979-02-28</t>
  </si>
  <si>
    <t>13-02-2012</t>
  </si>
  <si>
    <t>Active</t>
  </si>
  <si>
    <t>Bangalore</t>
  </si>
  <si>
    <t>EMP4598</t>
  </si>
  <si>
    <t>Geeta Goel</t>
  </si>
  <si>
    <t>Sales</t>
  </si>
  <si>
    <t>26 Jan 2013</t>
  </si>
  <si>
    <t>07/09/1981</t>
  </si>
  <si>
    <t>2014-04-19</t>
  </si>
  <si>
    <t>Chennai</t>
  </si>
  <si>
    <t>EMP6930</t>
  </si>
  <si>
    <t>Suresh Mishra</t>
  </si>
  <si>
    <t>Legal</t>
  </si>
  <si>
    <t>2011-01-28</t>
  </si>
  <si>
    <t>21/03/1986</t>
  </si>
  <si>
    <t>14-11-2013</t>
  </si>
  <si>
    <t>M07</t>
  </si>
  <si>
    <t>F</t>
  </si>
  <si>
    <t>Hyderabad</t>
  </si>
  <si>
    <t>EMP5808</t>
  </si>
  <si>
    <t>Neha Pandey</t>
  </si>
  <si>
    <t>2010-12-24</t>
  </si>
  <si>
    <t>09/25/1980</t>
  </si>
  <si>
    <t>04/09/2012</t>
  </si>
  <si>
    <t>M05</t>
  </si>
  <si>
    <t>M</t>
  </si>
  <si>
    <t>EMP6947</t>
  </si>
  <si>
    <t>Ritu Srivastava</t>
  </si>
  <si>
    <t>03/10/2013</t>
  </si>
  <si>
    <t>16/12/1989</t>
  </si>
  <si>
    <t>25 Sep 2014</t>
  </si>
  <si>
    <t>M08</t>
  </si>
  <si>
    <t>EMP7118</t>
  </si>
  <si>
    <t>Alok Dutta</t>
  </si>
  <si>
    <t>08-04-2011</t>
  </si>
  <si>
    <t>01-06-1987</t>
  </si>
  <si>
    <t>2016-09-08</t>
  </si>
  <si>
    <t>Rs.44000</t>
  </si>
  <si>
    <t>EMP8744</t>
  </si>
  <si>
    <t>Kavya Subramaniam</t>
  </si>
  <si>
    <t>04 Feb 2013</t>
  </si>
  <si>
    <t>1970-07-12</t>
  </si>
  <si>
    <t>15-07-2017</t>
  </si>
  <si>
    <t>Mumbai</t>
  </si>
  <si>
    <t>EMP2235</t>
  </si>
  <si>
    <t>Alok Ghosh</t>
  </si>
  <si>
    <t>11/18/2010</t>
  </si>
  <si>
    <t>25 Feb 1988</t>
  </si>
  <si>
    <t>14-03-2012</t>
  </si>
  <si>
    <t>M04</t>
  </si>
  <si>
    <t>EMP8973</t>
  </si>
  <si>
    <t>Pooja Agarwal</t>
  </si>
  <si>
    <t>01/19/2013</t>
  </si>
  <si>
    <t>02-09-1968</t>
  </si>
  <si>
    <t>02/01/2016</t>
  </si>
  <si>
    <t>M03</t>
  </si>
  <si>
    <t>Rs.42000</t>
  </si>
  <si>
    <t>EMP1651</t>
  </si>
  <si>
    <t>Usha Joshi</t>
  </si>
  <si>
    <t>2020-10-19</t>
  </si>
  <si>
    <t>09 Jun 1982</t>
  </si>
  <si>
    <t>2022-11-23</t>
  </si>
  <si>
    <t>Pune</t>
  </si>
  <si>
    <t>EMP9808</t>
  </si>
  <si>
    <t>Nisha Das</t>
  </si>
  <si>
    <t>03/06/2012</t>
  </si>
  <si>
    <t>1983-06-10</t>
  </si>
  <si>
    <t>27-08-2014</t>
  </si>
  <si>
    <t>EMP4450</t>
  </si>
  <si>
    <t>Mala Bhatia</t>
  </si>
  <si>
    <t>11/28/2020</t>
  </si>
  <si>
    <t>1990-09-16</t>
  </si>
  <si>
    <t>01/03/2023</t>
  </si>
  <si>
    <t>EMP3442</t>
  </si>
  <si>
    <t>Vikas Singh</t>
  </si>
  <si>
    <t>Operations</t>
  </si>
  <si>
    <t>09/05/2019</t>
  </si>
  <si>
    <t>02-03-1984</t>
  </si>
  <si>
    <t>2022-06-26</t>
  </si>
  <si>
    <t>EMP3662</t>
  </si>
  <si>
    <t>Divya Pillai</t>
  </si>
  <si>
    <t>11 Dec 2012</t>
  </si>
  <si>
    <t>11/28/1977</t>
  </si>
  <si>
    <t>05/06/2014</t>
  </si>
  <si>
    <t>M02</t>
  </si>
  <si>
    <t>EMP4164</t>
  </si>
  <si>
    <t>Shreya Bhatia</t>
  </si>
  <si>
    <t>12-05-2011</t>
  </si>
  <si>
    <t>13/09/1969</t>
  </si>
  <si>
    <t>01 Jun 2016</t>
  </si>
  <si>
    <t>EMP4114</t>
  </si>
  <si>
    <t>Nikhil Singh</t>
  </si>
  <si>
    <t>26-09-2010</t>
  </si>
  <si>
    <t>1971-11-24</t>
  </si>
  <si>
    <t>14/06/2012</t>
  </si>
  <si>
    <t>EMP7211</t>
  </si>
  <si>
    <t>Geeta Trivedi</t>
  </si>
  <si>
    <t>HR</t>
  </si>
  <si>
    <t>10/10/2019</t>
  </si>
  <si>
    <t>27/09/1985</t>
  </si>
  <si>
    <t>10 May 2020</t>
  </si>
  <si>
    <t>EMP6491</t>
  </si>
  <si>
    <t>Ananya Desai</t>
  </si>
  <si>
    <t>08/05/2020</t>
  </si>
  <si>
    <t>03/01/1992</t>
  </si>
  <si>
    <t>16 Apr 2021</t>
  </si>
  <si>
    <t>EMP2746</t>
  </si>
  <si>
    <t>Hema Rao</t>
  </si>
  <si>
    <t>Finance</t>
  </si>
  <si>
    <t>17 Dec 2012</t>
  </si>
  <si>
    <t>18/01/1976</t>
  </si>
  <si>
    <t>15/02/2014</t>
  </si>
  <si>
    <t>EMP5050</t>
  </si>
  <si>
    <t>Naveen Chauhan</t>
  </si>
  <si>
    <t>09 Apr 2020</t>
  </si>
  <si>
    <t>02/23/1984</t>
  </si>
  <si>
    <t>04/09/2023</t>
  </si>
  <si>
    <t>Rs.52000</t>
  </si>
  <si>
    <t>EMP1320</t>
  </si>
  <si>
    <t>Kapil Bose</t>
  </si>
  <si>
    <t>12 Jan 2017</t>
  </si>
  <si>
    <t>28 Jul 1986</t>
  </si>
  <si>
    <t>24-09-2021</t>
  </si>
  <si>
    <t>EMP9751</t>
  </si>
  <si>
    <t>Priya Iyer</t>
  </si>
  <si>
    <t>14 Nov 2011</t>
  </si>
  <si>
    <t>1985-08-06</t>
  </si>
  <si>
    <t>13 May 2012</t>
  </si>
  <si>
    <t>EMP2124</t>
  </si>
  <si>
    <t>Hema Sinha</t>
  </si>
  <si>
    <t>2022-01-08</t>
  </si>
  <si>
    <t>1994-01-20</t>
  </si>
  <si>
    <t>04/05/2023</t>
  </si>
  <si>
    <t>EMP1420</t>
  </si>
  <si>
    <t>Ritu Bose</t>
  </si>
  <si>
    <t>07/12/2016</t>
  </si>
  <si>
    <t>23 Oct 1992</t>
  </si>
  <si>
    <t>2018-02-23</t>
  </si>
  <si>
    <t>Rs.136000</t>
  </si>
  <si>
    <t>EMP6934</t>
  </si>
  <si>
    <t>Naveen Krishnan</t>
  </si>
  <si>
    <t>03/24/2016</t>
  </si>
  <si>
    <t>09-11-1978</t>
  </si>
  <si>
    <t>2021-09-25</t>
  </si>
  <si>
    <t>EMP6325</t>
  </si>
  <si>
    <t>Divya Choudhury</t>
  </si>
  <si>
    <t>11 May 2015</t>
  </si>
  <si>
    <t>23 Oct 1985</t>
  </si>
  <si>
    <t>01/09/2018</t>
  </si>
  <si>
    <t>EMP4630</t>
  </si>
  <si>
    <t>Shreya Rathore</t>
  </si>
  <si>
    <t>2014-11-19</t>
  </si>
  <si>
    <t>1981-08-18</t>
  </si>
  <si>
    <t>06/14/2019</t>
  </si>
  <si>
    <t>EMP4545</t>
  </si>
  <si>
    <t>Radha Subramaniam</t>
  </si>
  <si>
    <t>25/10/2021</t>
  </si>
  <si>
    <t>10/10/1983</t>
  </si>
  <si>
    <t>2022-04-10</t>
  </si>
  <si>
    <t>Rs.73000</t>
  </si>
  <si>
    <t>EMP2680</t>
  </si>
  <si>
    <t>Aarav Bose</t>
  </si>
  <si>
    <t>15-08-2017</t>
  </si>
  <si>
    <t>03/02/1985</t>
  </si>
  <si>
    <t>08/04/2020</t>
  </si>
  <si>
    <t>EMP4697</t>
  </si>
  <si>
    <t>Hema Dutta</t>
  </si>
  <si>
    <t>08/10/2017</t>
  </si>
  <si>
    <t>1977-07-10</t>
  </si>
  <si>
    <t>02-10-2022</t>
  </si>
  <si>
    <t>EMP5771</t>
  </si>
  <si>
    <t>Rohit Saxena</t>
  </si>
  <si>
    <t>05/23/2021</t>
  </si>
  <si>
    <t>02/22/1985</t>
  </si>
  <si>
    <t>2023-05-26</t>
  </si>
  <si>
    <t>EMP5728</t>
  </si>
  <si>
    <t>Alok Yadav</t>
  </si>
  <si>
    <t>2021-05-23</t>
  </si>
  <si>
    <t>17/05/1987</t>
  </si>
  <si>
    <t>2023-08-15</t>
  </si>
  <si>
    <t>Rs.148000</t>
  </si>
  <si>
    <t>EMP5415</t>
  </si>
  <si>
    <t>Pranav Singh</t>
  </si>
  <si>
    <t>2017-09-21</t>
  </si>
  <si>
    <t>1981-05-06</t>
  </si>
  <si>
    <t>21-07-2022</t>
  </si>
  <si>
    <t>EMP1601</t>
  </si>
  <si>
    <t>Bhavna Joshi</t>
  </si>
  <si>
    <t>2014-06-04</t>
  </si>
  <si>
    <t>27/09/1980</t>
  </si>
  <si>
    <t>28 Nov 2015</t>
  </si>
  <si>
    <t>EMP8941</t>
  </si>
  <si>
    <t>Meera Verma</t>
  </si>
  <si>
    <t>03/10/2021</t>
  </si>
  <si>
    <t>18 Jan 1982</t>
  </si>
  <si>
    <t>2023-02-08</t>
  </si>
  <si>
    <t>EMP7284</t>
  </si>
  <si>
    <t>Amit Chakraborty</t>
  </si>
  <si>
    <t>05/25/2011</t>
  </si>
  <si>
    <t>26 Jun 1976</t>
  </si>
  <si>
    <t>27/05/2016</t>
  </si>
  <si>
    <t>EMP4912</t>
  </si>
  <si>
    <t>Pranav Nair</t>
  </si>
  <si>
    <t>02/07/2022</t>
  </si>
  <si>
    <t>16/12/1990</t>
  </si>
  <si>
    <t>2023-07-22</t>
  </si>
  <si>
    <t>EMP7717</t>
  </si>
  <si>
    <t>Lata Tiwari</t>
  </si>
  <si>
    <t>11/05/2017</t>
  </si>
  <si>
    <t>13-12-1976</t>
  </si>
  <si>
    <t>28/06/2018</t>
  </si>
  <si>
    <t>Rs.75000</t>
  </si>
  <si>
    <t>EMP2612</t>
  </si>
  <si>
    <t>Kapil Bhattacharya</t>
  </si>
  <si>
    <t>23 Mar 2017</t>
  </si>
  <si>
    <t>02/01/1986</t>
  </si>
  <si>
    <t>01/10/2020</t>
  </si>
  <si>
    <t>EMP3344</t>
  </si>
  <si>
    <t>Suresh Krishnan</t>
  </si>
  <si>
    <t>22 May 2017</t>
  </si>
  <si>
    <t>1995-08-10</t>
  </si>
  <si>
    <t>03 Mar 2022</t>
  </si>
  <si>
    <t>EMP5847</t>
  </si>
  <si>
    <t>Vinod Patel</t>
  </si>
  <si>
    <t>2020-07-09</t>
  </si>
  <si>
    <t>10/28/1998</t>
  </si>
  <si>
    <t>10/24/2021</t>
  </si>
  <si>
    <t>EMP1645</t>
  </si>
  <si>
    <t>Ritu Menon</t>
  </si>
  <si>
    <t>24/06/2019</t>
  </si>
  <si>
    <t>1993-02-10</t>
  </si>
  <si>
    <t>12/14/2022</t>
  </si>
  <si>
    <t>EMP2886</t>
  </si>
  <si>
    <t>Bhavna Kumar</t>
  </si>
  <si>
    <t>28-04-2022</t>
  </si>
  <si>
    <t>22 Dec 1979</t>
  </si>
  <si>
    <t>2023-09-12</t>
  </si>
  <si>
    <t>EMP4830</t>
  </si>
  <si>
    <t>Gaurav Verma</t>
  </si>
  <si>
    <t>2019-04-21</t>
  </si>
  <si>
    <t>27 Nov 1995</t>
  </si>
  <si>
    <t>10-12-2023</t>
  </si>
  <si>
    <t>EMP9850</t>
  </si>
  <si>
    <t>Tarun Sen</t>
  </si>
  <si>
    <t>2016-11-04</t>
  </si>
  <si>
    <t>14-10-1979</t>
  </si>
  <si>
    <t>2019-01-23</t>
  </si>
  <si>
    <t>EMP8450</t>
  </si>
  <si>
    <t>Ananya Jha</t>
  </si>
  <si>
    <t>11/20/2020</t>
  </si>
  <si>
    <t>01/26/1998</t>
  </si>
  <si>
    <t>2023-04-05</t>
  </si>
  <si>
    <t>EMP5106</t>
  </si>
  <si>
    <t>Divya Yadav</t>
  </si>
  <si>
    <t>12-01-2012</t>
  </si>
  <si>
    <t>11 Oct 1983</t>
  </si>
  <si>
    <t>09 Mar 2013</t>
  </si>
  <si>
    <t>EMP9543</t>
  </si>
  <si>
    <t>Ritu Krishnan</t>
  </si>
  <si>
    <t>28/08/2010</t>
  </si>
  <si>
    <t>07/22/1976</t>
  </si>
  <si>
    <t>23-08-2011</t>
  </si>
  <si>
    <t>Aarav Sharma</t>
  </si>
  <si>
    <t>18-11-2010</t>
  </si>
  <si>
    <t>25-02-1988</t>
  </si>
  <si>
    <t>05-09-2019</t>
  </si>
  <si>
    <t>26-06-2022</t>
  </si>
  <si>
    <t>13-09-1969</t>
  </si>
  <si>
    <t>01-06-2016</t>
  </si>
  <si>
    <t>Manager Lookup</t>
  </si>
  <si>
    <t>Department Budget Lookup</t>
  </si>
  <si>
    <t>Manager Name</t>
  </si>
  <si>
    <t>Annual Budget (₹)</t>
  </si>
  <si>
    <t>Rajiv Khanna</t>
  </si>
  <si>
    <t>Sunita Bose</t>
  </si>
  <si>
    <t>Anil Desai</t>
  </si>
  <si>
    <t>Preethi Nair</t>
  </si>
  <si>
    <t>Siddharth Roy</t>
  </si>
  <si>
    <t>Geeta Pillai</t>
  </si>
  <si>
    <t>Manish Tiwari</t>
  </si>
  <si>
    <t>Divya Reddy</t>
  </si>
  <si>
    <t>DOB</t>
  </si>
  <si>
    <t>Dept Formula</t>
  </si>
  <si>
    <t>Weight - Tenure (W1)</t>
  </si>
  <si>
    <t>Weight - Promo Gap (W2)</t>
  </si>
  <si>
    <t>Weight - Performance (W3)</t>
  </si>
  <si>
    <t>⚠️  W1+W2+W3 must = 100%</t>
  </si>
  <si>
    <t>← Lower rating = High Risk</t>
  </si>
  <si>
    <t>← Longer Gaps = High Risk</t>
  </si>
  <si>
    <t>← Longer Since Last Promotion = High Risk</t>
  </si>
  <si>
    <t xml:space="preserve"> Adjustable Weights (Yellow Cells are editable)</t>
  </si>
  <si>
    <t>Emp ID</t>
  </si>
  <si>
    <t>Name</t>
  </si>
  <si>
    <t>Age</t>
  </si>
  <si>
    <t>Age Band</t>
  </si>
  <si>
    <t>Performance</t>
  </si>
  <si>
    <t>Tenure Score</t>
  </si>
  <si>
    <t>Promo Gap Score</t>
  </si>
  <si>
    <t>Tenure Yrs</t>
  </si>
  <si>
    <t>Perf Rating</t>
  </si>
  <si>
    <t>Perf Score</t>
  </si>
  <si>
    <t>Risk Score</t>
  </si>
  <si>
    <t>Risk Band</t>
  </si>
  <si>
    <t>Promo Gap Yrs</t>
  </si>
  <si>
    <t>HR Attrition Risk Dashboard | Top 20 At-Risk Employees</t>
  </si>
  <si>
    <t>Total Employee</t>
  </si>
  <si>
    <t>High Risk &gt;=70</t>
  </si>
  <si>
    <t>Medium Risk 45 - 69</t>
  </si>
  <si>
    <t>Low Risk (&gt;45)</t>
  </si>
  <si>
    <t>Avg Risk Score</t>
  </si>
  <si>
    <t>Rank</t>
  </si>
  <si>
    <t>Employee ID</t>
  </si>
  <si>
    <t>Employee Name</t>
  </si>
  <si>
    <t xml:space="preserve">Rank </t>
  </si>
  <si>
    <t>Tenure Year</t>
  </si>
  <si>
    <t>Manager</t>
  </si>
  <si>
    <t>Row Labels</t>
  </si>
  <si>
    <t>Grand Total</t>
  </si>
  <si>
    <t>Max of Risk Score</t>
  </si>
  <si>
    <t>High Risk</t>
  </si>
  <si>
    <t>Low Risk</t>
  </si>
  <si>
    <t>Medium Risk</t>
  </si>
  <si>
    <t>Count of Emp ID</t>
  </si>
  <si>
    <t>Average of Risk Score</t>
  </si>
  <si>
    <t>High Risk (&gt;=70)</t>
  </si>
  <si>
    <t>Medium Risk (45 - 69)</t>
  </si>
  <si>
    <t>HR Attrition Risk Dashboard | Top 10 At-Risk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</si>
</sst>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
    <numFmt numFmtId="165" formatCode="_ [$₹-4009]\ * #,##0.00_ ;_ [$₹-4009]\ * \-#,##0.00_ ;_ [$₹-4009]\ * &quot;-&quot;??_ ;_ @_ "/>
    <numFmt numFmtId="166" formatCode="_ [$₹-4009]\ * #,##0_ ;_ [$₹-4009]\ * \-#,##0_ ;_ [$₹-4009]\ * &quot;-&quot;??_ ;_ @_ "/>
    <numFmt numFmtId="167" formatCode="0.0"/>
  </numFmts>
  <fonts count="25" x14ac:knownFonts="1">
    <font>
      <sz val="11"/>
      <color theme="1"/>
      <name val="Calibri"/>
      <family val="2"/>
      <scheme val="minor"/>
    </font>
    <font>
      <b/>
      <sz val="11"/>
      <color rgb="FFFFFFFF"/>
      <name val="Arial"/>
    </font>
    <font>
      <sz val="10"/>
      <name val="Arial"/>
    </font>
    <font>
      <b/>
      <sz val="12"/>
      <color rgb="FFFFFFFF"/>
      <name val="Arial"/>
    </font>
    <font>
      <b/>
      <sz val="10"/>
      <color rgb="FFFFFFFF"/>
      <name val="Arial"/>
    </font>
    <font>
      <sz val="11"/>
      <color theme="1"/>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b/>
      <sz val="12"/>
      <color theme="0"/>
      <name val="Calibri"/>
      <family val="2"/>
      <scheme val="minor"/>
    </font>
    <font>
      <sz val="11"/>
      <color rgb="FFA50021"/>
      <name val="Calibri"/>
      <family val="2"/>
      <scheme val="minor"/>
    </font>
    <font>
      <i/>
      <sz val="9"/>
      <color theme="1"/>
      <name val="Calibri Light"/>
      <family val="2"/>
    </font>
    <font>
      <i/>
      <sz val="9"/>
      <color theme="0" tint="-0.499984740745262"/>
      <name val="Calibri Light"/>
      <family val="2"/>
    </font>
    <font>
      <b/>
      <sz val="16"/>
      <color theme="5" tint="-0.249977111117893"/>
      <name val="Calibri"/>
      <family val="2"/>
      <scheme val="minor"/>
    </font>
    <font>
      <b/>
      <sz val="22"/>
      <color theme="0"/>
      <name val="Calibri"/>
      <family val="2"/>
      <scheme val="minor"/>
    </font>
    <font>
      <b/>
      <sz val="11"/>
      <color theme="6" tint="-0.249977111117893"/>
      <name val="Calibri"/>
      <family val="2"/>
      <scheme val="minor"/>
    </font>
    <font>
      <b/>
      <sz val="16"/>
      <color theme="6" tint="-0.249977111117893"/>
      <name val="Calibri"/>
      <family val="2"/>
      <scheme val="minor"/>
    </font>
    <font>
      <b/>
      <sz val="16"/>
      <color theme="9" tint="-0.249977111117893"/>
      <name val="Calibri"/>
      <family val="2"/>
      <scheme val="minor"/>
    </font>
    <font>
      <b/>
      <sz val="16"/>
      <color theme="8" tint="-0.249977111117893"/>
      <name val="Calibri"/>
      <family val="2"/>
      <scheme val="minor"/>
    </font>
    <font>
      <b/>
      <sz val="16"/>
      <color theme="8" tint="0.59999389629810485"/>
      <name val="Calibri"/>
      <family val="2"/>
      <scheme val="minor"/>
    </font>
    <font>
      <b/>
      <sz val="11"/>
      <color rgb="FFFF0000"/>
      <name val="Calibri"/>
      <family val="2"/>
      <scheme val="minor"/>
    </font>
    <font>
      <b/>
      <sz val="11"/>
      <color rgb="FFFFC000"/>
      <name val="Calibri"/>
      <family val="2"/>
      <scheme val="minor"/>
    </font>
    <font>
      <b/>
      <sz val="11"/>
      <color rgb="FFFFFF00"/>
      <name val="Calibri"/>
      <family val="2"/>
      <scheme val="minor"/>
    </font>
    <font>
      <b/>
      <sz val="16"/>
      <color theme="7" tint="-0.249977111117893"/>
      <name val="Calibri"/>
      <family val="2"/>
      <scheme val="minor"/>
    </font>
    <font>
      <b/>
      <sz val="9"/>
      <color rgb="FFC00000"/>
      <name val="Arial"/>
      <family val="2"/>
    </font>
  </fonts>
  <fills count="18">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2E75B6"/>
      </patternFill>
    </fill>
    <fill>
      <patternFill patternType="solid">
        <fgColor rgb="FFFFFFCC"/>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4"/>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1" tint="0.499984740745262"/>
        <bgColor indexed="64"/>
      </patternFill>
    </fill>
    <fill>
      <patternFill patternType="solid">
        <fgColor theme="7" tint="0.39997558519241921"/>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2">
    <xf numFmtId="0" fontId="0" fillId="0" borderId="0"/>
    <xf numFmtId="9" fontId="5" fillId="0" borderId="0" applyFont="0" applyFill="0" applyBorder="0" applyAlignment="0" applyProtection="0"/>
  </cellStyleXfs>
  <cellXfs count="66">
    <xf numFmtId="0" fontId="0" fillId="0" borderId="0" xfId="0"/>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4" fillId="5" borderId="1" xfId="0" applyFont="1" applyFill="1" applyBorder="1" applyAlignment="1">
      <alignment horizontal="center"/>
    </xf>
    <xf numFmtId="0" fontId="2" fillId="4" borderId="1" xfId="0" applyFont="1" applyFill="1" applyBorder="1" applyAlignment="1">
      <alignment horizontal="center"/>
    </xf>
    <xf numFmtId="164" fontId="2" fillId="4" borderId="1" xfId="0" applyNumberFormat="1" applyFont="1" applyFill="1" applyBorder="1" applyAlignment="1">
      <alignment horizontal="center"/>
    </xf>
    <xf numFmtId="0" fontId="2" fillId="3" borderId="1" xfId="0" applyFont="1" applyFill="1" applyBorder="1" applyAlignment="1">
      <alignment horizontal="center"/>
    </xf>
    <xf numFmtId="164" fontId="2" fillId="3" borderId="1" xfId="0" applyNumberFormat="1" applyFont="1" applyFill="1" applyBorder="1" applyAlignment="1">
      <alignment horizontal="center"/>
    </xf>
    <xf numFmtId="0" fontId="0" fillId="0" borderId="0" xfId="0"/>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3" borderId="3" xfId="0" applyFont="1" applyFill="1" applyBorder="1" applyAlignment="1">
      <alignment horizontal="left" vertical="center"/>
    </xf>
    <xf numFmtId="0" fontId="2" fillId="4" borderId="3" xfId="0" applyFont="1" applyFill="1" applyBorder="1" applyAlignment="1">
      <alignment horizontal="left" vertical="center"/>
    </xf>
    <xf numFmtId="0" fontId="2" fillId="3" borderId="7" xfId="0" applyFont="1" applyFill="1" applyBorder="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0" fillId="0" borderId="0" xfId="0" applyNumberFormat="1"/>
    <xf numFmtId="165" fontId="0" fillId="0" borderId="0" xfId="0" applyNumberFormat="1"/>
    <xf numFmtId="166" fontId="0" fillId="0" borderId="0" xfId="0" applyNumberFormat="1"/>
    <xf numFmtId="0" fontId="0" fillId="7" borderId="0" xfId="0" applyFill="1"/>
    <xf numFmtId="0" fontId="0" fillId="0" borderId="0" xfId="0" applyAlignment="1">
      <alignment horizontal="center"/>
    </xf>
    <xf numFmtId="9" fontId="10" fillId="6" borderId="0" xfId="1" applyFont="1" applyFill="1" applyAlignment="1">
      <alignment horizontal="center"/>
    </xf>
    <xf numFmtId="0" fontId="11" fillId="0" borderId="0" xfId="0" applyFont="1"/>
    <xf numFmtId="0" fontId="12" fillId="0" borderId="0" xfId="0" applyFont="1"/>
    <xf numFmtId="0" fontId="8" fillId="0" borderId="0" xfId="0" applyFont="1"/>
    <xf numFmtId="14" fontId="0" fillId="0" borderId="0" xfId="0" applyNumberFormat="1"/>
    <xf numFmtId="1" fontId="0" fillId="0" borderId="0" xfId="0" applyNumberFormat="1"/>
    <xf numFmtId="0" fontId="9" fillId="12" borderId="0" xfId="0" applyFont="1" applyFill="1" applyBorder="1" applyAlignment="1">
      <alignment horizontal="center"/>
    </xf>
    <xf numFmtId="0" fontId="9" fillId="12" borderId="0" xfId="0" applyFont="1" applyFill="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0" fontId="6" fillId="8" borderId="0" xfId="0" applyFont="1" applyFill="1"/>
    <xf numFmtId="0" fontId="1" fillId="7" borderId="4"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6" xfId="0" applyFont="1" applyFill="1" applyBorder="1" applyAlignment="1">
      <alignment horizontal="center" vertical="center" wrapText="1"/>
    </xf>
    <xf numFmtId="1" fontId="13" fillId="0" borderId="0" xfId="0" applyNumberFormat="1" applyFont="1" applyAlignment="1">
      <alignment horizontal="center"/>
    </xf>
    <xf numFmtId="0" fontId="7" fillId="0" borderId="0" xfId="0" applyFont="1" applyFill="1" applyAlignment="1">
      <alignment horizontal="center"/>
    </xf>
    <xf numFmtId="0" fontId="9" fillId="13" borderId="0" xfId="0" applyFont="1" applyFill="1" applyAlignment="1">
      <alignment horizontal="center"/>
    </xf>
    <xf numFmtId="0" fontId="7" fillId="10" borderId="0" xfId="0" applyFont="1" applyFill="1"/>
    <xf numFmtId="167" fontId="19" fillId="0" borderId="0" xfId="0" applyNumberFormat="1" applyFont="1" applyAlignment="1">
      <alignment horizontal="center"/>
    </xf>
    <xf numFmtId="0" fontId="0" fillId="0" borderId="0" xfId="0" applyFill="1" applyAlignment="1">
      <alignment horizontal="center"/>
    </xf>
    <xf numFmtId="1" fontId="0" fillId="0" borderId="0" xfId="0" applyNumberFormat="1" applyFill="1" applyAlignment="1">
      <alignment horizontal="center"/>
    </xf>
    <xf numFmtId="0" fontId="14" fillId="0" borderId="0" xfId="0" applyFont="1" applyFill="1" applyAlignment="1"/>
    <xf numFmtId="0" fontId="20" fillId="0" borderId="0" xfId="0" applyFont="1" applyFill="1" applyAlignment="1">
      <alignment horizontal="center"/>
    </xf>
    <xf numFmtId="0" fontId="21" fillId="0" borderId="0" xfId="0" applyFont="1" applyFill="1" applyAlignment="1">
      <alignment horizontal="center"/>
    </xf>
    <xf numFmtId="0" fontId="22" fillId="0" borderId="0" xfId="0" applyFont="1" applyFill="1" applyAlignment="1">
      <alignment horizontal="center"/>
    </xf>
    <xf numFmtId="0" fontId="15" fillId="0" borderId="0" xfId="0" applyFont="1" applyAlignment="1">
      <alignment horizontal="center"/>
    </xf>
    <xf numFmtId="9" fontId="10" fillId="6" borderId="0" xfId="1" applyFont="1" applyFill="1" applyAlignment="1" applyProtection="1">
      <alignment horizontal="center"/>
      <protection locked="0"/>
    </xf>
    <xf numFmtId="0" fontId="0" fillId="0" borderId="0" xfId="0" pivotButton="1"/>
    <xf numFmtId="0" fontId="0" fillId="0" borderId="0" xfId="0" applyAlignment="1">
      <alignment horizontal="left"/>
    </xf>
    <xf numFmtId="0" fontId="3" fillId="2" borderId="0" xfId="0" applyFont="1" applyFill="1" applyAlignment="1">
      <alignment horizontal="center" vertical="center"/>
    </xf>
    <xf numFmtId="0" fontId="0" fillId="0" borderId="0" xfId="0" applyAlignment="1"/>
    <xf numFmtId="0" fontId="9" fillId="9" borderId="0" xfId="0" applyFont="1" applyFill="1" applyAlignment="1">
      <alignment horizontal="center" vertical="center"/>
    </xf>
    <xf numFmtId="0" fontId="7" fillId="15" borderId="0" xfId="0" applyFont="1" applyFill="1" applyAlignment="1">
      <alignment horizontal="center"/>
    </xf>
    <xf numFmtId="1" fontId="17" fillId="0" borderId="0" xfId="0" applyNumberFormat="1" applyFont="1" applyAlignment="1">
      <alignment horizontal="center"/>
    </xf>
    <xf numFmtId="0" fontId="14" fillId="16" borderId="0" xfId="0" applyFont="1" applyFill="1" applyAlignment="1">
      <alignment horizontal="center"/>
    </xf>
    <xf numFmtId="0" fontId="7" fillId="7" borderId="0" xfId="0" applyFont="1" applyFill="1" applyAlignment="1">
      <alignment horizontal="center"/>
    </xf>
    <xf numFmtId="1" fontId="13" fillId="0" borderId="0" xfId="0" applyNumberFormat="1" applyFont="1" applyAlignment="1">
      <alignment horizontal="center"/>
    </xf>
    <xf numFmtId="0" fontId="7" fillId="11" borderId="0" xfId="0" applyFont="1" applyFill="1" applyAlignment="1">
      <alignment horizontal="center"/>
    </xf>
    <xf numFmtId="1" fontId="18" fillId="0" borderId="0" xfId="0" applyNumberFormat="1" applyFont="1" applyAlignment="1">
      <alignment horizontal="center"/>
    </xf>
    <xf numFmtId="0" fontId="7" fillId="14" borderId="0" xfId="0" applyFont="1" applyFill="1" applyAlignment="1">
      <alignment horizontal="center"/>
    </xf>
    <xf numFmtId="1" fontId="16" fillId="0" borderId="0" xfId="0" applyNumberFormat="1" applyFont="1" applyAlignment="1">
      <alignment horizontal="center"/>
    </xf>
    <xf numFmtId="0" fontId="7" fillId="13" borderId="0" xfId="0" applyFont="1" applyFill="1" applyAlignment="1">
      <alignment horizontal="center" vertical="center"/>
    </xf>
    <xf numFmtId="1" fontId="23" fillId="0" borderId="0" xfId="0" applyNumberFormat="1" applyFont="1" applyAlignment="1">
      <alignment horizontal="center"/>
    </xf>
    <xf numFmtId="0" fontId="14" fillId="17" borderId="0" xfId="0" applyFont="1" applyFill="1" applyAlignment="1">
      <alignment horizontal="center"/>
    </xf>
    <xf numFmtId="0" fontId="24" fillId="8" borderId="1" xfId="0" applyFont="1" applyFill="1" applyBorder="1"/>
  </cellXfs>
  <cellStyles count="2">
    <cellStyle name="Normal" xfId="0" builtinId="0"/>
    <cellStyle name="Percent" xfId="1" builtinId="5"/>
  </cellStyles>
  <dxfs count="58">
    <dxf>
      <numFmt numFmtId="1" formatCode="0"/>
    </dxf>
    <dxf>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theme="4"/>
        </patternFill>
      </fill>
      <alignment horizontal="center" vertical="bottom" textRotation="0" wrapText="0" indent="0" justifyLastLine="0" shrinkToFit="0" readingOrder="0"/>
    </dxf>
    <dxf>
      <numFmt numFmtId="1" formatCode="0"/>
    </dxf>
    <dxf>
      <numFmt numFmtId="1" formatCode="0"/>
    </dxf>
    <dxf>
      <numFmt numFmtId="167" formatCode="0.0"/>
    </dxf>
    <dxf>
      <numFmt numFmtId="2" formatCode="0.00"/>
    </dxf>
    <dxf>
      <numFmt numFmtId="1" formatCode="0"/>
    </dxf>
    <dxf>
      <numFmt numFmtId="167" formatCode="0.0"/>
    </dxf>
    <dxf>
      <numFmt numFmtId="2" formatCode="0.00"/>
    </dxf>
    <dxf>
      <numFmt numFmtId="1" formatCode="0"/>
    </dxf>
    <dxf>
      <numFmt numFmtId="167" formatCode="0.0"/>
    </dxf>
    <dxf>
      <numFmt numFmtId="2" formatCode="0.00"/>
    </dxf>
    <dxf>
      <numFmt numFmtId="167" formatCode="0.0"/>
    </dxf>
    <dxf>
      <numFmt numFmtId="166" formatCode="_ [$₹-4009]\ * #,##0_ ;_ [$₹-4009]\ * \-#,##0_ ;_ [$₹-4009]\ * &quot;-&quot;??_ ;_ @_ "/>
    </dxf>
    <dxf>
      <numFmt numFmtId="0" formatCode="General"/>
    </dxf>
    <dxf>
      <numFmt numFmtId="0" formatCode="General"/>
    </dxf>
    <dxf>
      <numFmt numFmtId="0" formatCode="General"/>
    </dxf>
    <dxf>
      <numFmt numFmtId="0" formatCode="General"/>
    </dxf>
    <dxf>
      <numFmt numFmtId="166" formatCode="_ [$₹-4009]\ * #,##0_ ;_ [$₹-4009]\ * \-#,##0_ ;_ [$₹-4009]\ * &quot;-&quot;??_ ;_ @_ "/>
    </dxf>
    <dxf>
      <numFmt numFmtId="0" formatCode="General"/>
    </dxf>
    <dxf>
      <numFmt numFmtId="1" formatCode="0"/>
    </dxf>
    <dxf>
      <numFmt numFmtId="19" formatCode="dd/mm/yyyy"/>
    </dxf>
    <dxf>
      <numFmt numFmtId="19" formatCode="dd/mm/yyyy"/>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left"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scheme val="none"/>
      </font>
      <fill>
        <patternFill patternType="solid">
          <fgColor indexed="64"/>
          <bgColor theme="5" tint="-0.249977111117893"/>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colors>
    <mruColors>
      <color rgb="FFFFFFCC"/>
      <color rgb="FFA50021"/>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[HR_Assignment (Autosaved).xlsx]Pivot!PivotTable1</c:name>
    <c:fmtId val="1"/>
  </c:pivotSource>
  <c:chart>
    <c:autoTitleDeleted val="1"/>
    <c:pivotFmts>
      <c:pivotFmt>
        <c:idx val="0"/>
        <c:spPr>
          <a:solidFill>
            <a:schemeClr val="accent3"/>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hade val="50000"/>
            </a:schemeClr>
          </a:solidFill>
          <a:ln w="19050">
            <a:solidFill>
              <a:schemeClr val="lt1"/>
            </a:solidFill>
          </a:ln>
          <a:effectLst/>
        </c:spPr>
        <c:dLbl>
          <c:idx val="0"/>
          <c:layout>
            <c:manualLayout>
              <c:x val="2.4711288536749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hade val="70000"/>
            </a:schemeClr>
          </a:solidFill>
          <a:ln w="19050">
            <a:solidFill>
              <a:schemeClr val="lt1"/>
            </a:solidFill>
          </a:ln>
          <a:effectLst/>
        </c:spPr>
        <c:dLbl>
          <c:idx val="0"/>
          <c:layout>
            <c:manualLayout>
              <c:x val="3.6116925282714332E-2"/>
              <c:y val="4.94427175044945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shade val="90000"/>
            </a:schemeClr>
          </a:solidFill>
          <a:ln w="19050">
            <a:solidFill>
              <a:schemeClr val="lt1"/>
            </a:solidFill>
          </a:ln>
          <a:effectLst/>
        </c:spPr>
        <c:dLbl>
          <c:idx val="0"/>
          <c:layout>
            <c:manualLayout>
              <c:x val="-0.16506801020829101"/>
              <c:y val="-9.2867289661468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pivotFmt>
      <c:pivotFmt>
        <c:idx val="7"/>
        <c:spPr>
          <a:solidFill>
            <a:schemeClr val="accent3">
              <a:tint val="70000"/>
            </a:schemeClr>
          </a:solidFill>
          <a:ln w="19050">
            <a:solidFill>
              <a:schemeClr val="lt1"/>
            </a:solidFill>
          </a:ln>
          <a:effectLst/>
        </c:spPr>
        <c:dLbl>
          <c:idx val="0"/>
          <c:layout>
            <c:manualLayout>
              <c:x val="1.1372704538474167E-2"/>
              <c:y val="-2.8037196892869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1.666439030004363E-2"/>
              <c:y val="9.6331648959185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3">
              <a:shade val="50000"/>
            </a:schemeClr>
          </a:solidFill>
          <a:ln w="19050">
            <a:solidFill>
              <a:schemeClr val="lt1"/>
            </a:solidFill>
          </a:ln>
          <a:effectLst/>
        </c:spPr>
      </c:pivotFmt>
      <c:pivotFmt>
        <c:idx val="11"/>
        <c:spPr>
          <a:solidFill>
            <a:schemeClr val="accent3">
              <a:shade val="70000"/>
            </a:schemeClr>
          </a:solidFill>
          <a:ln w="19050">
            <a:solidFill>
              <a:schemeClr val="lt1"/>
            </a:solidFill>
          </a:ln>
          <a:effectLst/>
        </c:spPr>
      </c:pivotFmt>
      <c:pivotFmt>
        <c:idx val="12"/>
        <c:spPr>
          <a:solidFill>
            <a:schemeClr val="accent3">
              <a:shade val="90000"/>
            </a:schemeClr>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tint val="70000"/>
            </a:schemeClr>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hade val="45000"/>
            </a:schemeClr>
          </a:solidFill>
          <a:ln w="19050">
            <a:solidFill>
              <a:schemeClr val="lt1"/>
            </a:solidFill>
          </a:ln>
          <a:effectLst/>
        </c:spPr>
      </c:pivotFmt>
      <c:pivotFmt>
        <c:idx val="17"/>
        <c:spPr>
          <a:solidFill>
            <a:schemeClr val="accent3">
              <a:shade val="61000"/>
            </a:schemeClr>
          </a:solidFill>
          <a:ln w="19050">
            <a:solidFill>
              <a:schemeClr val="lt1"/>
            </a:solidFill>
          </a:ln>
          <a:effectLst/>
        </c:spPr>
      </c:pivotFmt>
      <c:pivotFmt>
        <c:idx val="18"/>
        <c:spPr>
          <a:solidFill>
            <a:schemeClr val="accent3">
              <a:shade val="61000"/>
            </a:schemeClr>
          </a:solidFill>
          <a:ln w="19050">
            <a:solidFill>
              <a:schemeClr val="lt1"/>
            </a:solidFill>
          </a:ln>
          <a:effectLst/>
        </c:spPr>
      </c:pivotFmt>
      <c:pivotFmt>
        <c:idx val="19"/>
        <c:spPr>
          <a:solidFill>
            <a:schemeClr val="accent3">
              <a:shade val="92000"/>
            </a:schemeClr>
          </a:solidFill>
          <a:ln w="19050">
            <a:solidFill>
              <a:schemeClr val="lt1"/>
            </a:solidFill>
          </a:ln>
          <a:effectLst/>
        </c:spPr>
      </c:pivotFmt>
      <c:pivotFmt>
        <c:idx val="20"/>
        <c:spPr>
          <a:solidFill>
            <a:schemeClr val="accent3">
              <a:tint val="93000"/>
            </a:schemeClr>
          </a:solidFill>
          <a:ln w="19050">
            <a:solidFill>
              <a:schemeClr val="lt1"/>
            </a:solidFill>
          </a:ln>
          <a:effectLst/>
        </c:spPr>
      </c:pivotFmt>
      <c:pivotFmt>
        <c:idx val="21"/>
        <c:spPr>
          <a:solidFill>
            <a:schemeClr val="accent3">
              <a:tint val="77000"/>
            </a:schemeClr>
          </a:solidFill>
          <a:ln w="19050">
            <a:solidFill>
              <a:schemeClr val="lt1"/>
            </a:solidFill>
          </a:ln>
          <a:effectLst/>
        </c:spPr>
      </c:pivotFmt>
      <c:pivotFmt>
        <c:idx val="22"/>
        <c:spPr>
          <a:solidFill>
            <a:schemeClr val="accent3">
              <a:tint val="62000"/>
            </a:schemeClr>
          </a:solidFill>
          <a:ln w="19050">
            <a:solidFill>
              <a:schemeClr val="lt1"/>
            </a:solidFill>
          </a:ln>
          <a:effectLst/>
        </c:spPr>
      </c:pivotFmt>
      <c:pivotFmt>
        <c:idx val="23"/>
        <c:spPr>
          <a:solidFill>
            <a:schemeClr val="accent3">
              <a:tint val="46000"/>
            </a:schemeClr>
          </a:solidFill>
          <a:ln w="19050">
            <a:solidFill>
              <a:schemeClr val="lt1"/>
            </a:solidFill>
          </a:ln>
          <a:effectLst/>
        </c:spPr>
      </c:pivotFmt>
    </c:pivotFmts>
    <c:plotArea>
      <c:layout/>
      <c:pieChart>
        <c:varyColors val="1"/>
        <c:ser>
          <c:idx val="0"/>
          <c:order val="0"/>
          <c:tx>
            <c:strRef>
              <c:f>Pivot!$B$2</c:f>
              <c:strCache>
                <c:ptCount val="1"/>
                <c:pt idx="0">
                  <c:v>Total</c:v>
                </c:pt>
              </c:strCache>
            </c:strRef>
          </c:tx>
          <c:dPt>
            <c:idx val="0"/>
            <c:bubble3D val="0"/>
            <c:spPr>
              <a:solidFill>
                <a:schemeClr val="accent3">
                  <a:shade val="45000"/>
                </a:schemeClr>
              </a:solidFill>
              <a:ln w="19050">
                <a:solidFill>
                  <a:schemeClr val="lt1"/>
                </a:solidFill>
              </a:ln>
              <a:effectLst/>
            </c:spPr>
            <c:extLst>
              <c:ext xmlns:c16="http://schemas.microsoft.com/office/drawing/2014/chart" uri="{C3380CC4-5D6E-409C-BE32-E72D297353CC}">
                <c16:uniqueId val="{00000001-EC45-43E3-B594-6370D2D55B04}"/>
              </c:ext>
            </c:extLst>
          </c:dPt>
          <c:dPt>
            <c:idx val="1"/>
            <c:bubble3D val="0"/>
            <c:spPr>
              <a:solidFill>
                <a:schemeClr val="accent3">
                  <a:shade val="61000"/>
                </a:schemeClr>
              </a:solidFill>
              <a:ln w="19050">
                <a:solidFill>
                  <a:schemeClr val="lt1"/>
                </a:solidFill>
              </a:ln>
              <a:effectLst/>
            </c:spPr>
            <c:extLst>
              <c:ext xmlns:c16="http://schemas.microsoft.com/office/drawing/2014/chart" uri="{C3380CC4-5D6E-409C-BE32-E72D297353CC}">
                <c16:uniqueId val="{00000003-EC45-43E3-B594-6370D2D55B04}"/>
              </c:ext>
            </c:extLst>
          </c:dPt>
          <c:dPt>
            <c:idx val="2"/>
            <c:bubble3D val="0"/>
            <c:spPr>
              <a:solidFill>
                <a:schemeClr val="accent3">
                  <a:shade val="61000"/>
                </a:schemeClr>
              </a:solidFill>
              <a:ln w="19050">
                <a:solidFill>
                  <a:schemeClr val="lt1"/>
                </a:solidFill>
              </a:ln>
              <a:effectLst/>
            </c:spPr>
            <c:extLst>
              <c:ext xmlns:c16="http://schemas.microsoft.com/office/drawing/2014/chart" uri="{C3380CC4-5D6E-409C-BE32-E72D297353CC}">
                <c16:uniqueId val="{00000005-EC45-43E3-B594-6370D2D55B04}"/>
              </c:ext>
            </c:extLst>
          </c:dPt>
          <c:dPt>
            <c:idx val="3"/>
            <c:bubble3D val="0"/>
            <c:spPr>
              <a:solidFill>
                <a:schemeClr val="accent3">
                  <a:shade val="92000"/>
                </a:schemeClr>
              </a:solidFill>
              <a:ln w="19050">
                <a:solidFill>
                  <a:schemeClr val="lt1"/>
                </a:solidFill>
              </a:ln>
              <a:effectLst/>
            </c:spPr>
            <c:extLst>
              <c:ext xmlns:c16="http://schemas.microsoft.com/office/drawing/2014/chart" uri="{C3380CC4-5D6E-409C-BE32-E72D297353CC}">
                <c16:uniqueId val="{00000007-EC45-43E3-B594-6370D2D55B04}"/>
              </c:ext>
            </c:extLst>
          </c:dPt>
          <c:dPt>
            <c:idx val="4"/>
            <c:bubble3D val="0"/>
            <c:spPr>
              <a:solidFill>
                <a:schemeClr val="accent3">
                  <a:tint val="93000"/>
                </a:schemeClr>
              </a:solidFill>
              <a:ln w="19050">
                <a:solidFill>
                  <a:schemeClr val="lt1"/>
                </a:solidFill>
              </a:ln>
              <a:effectLst/>
            </c:spPr>
            <c:extLst>
              <c:ext xmlns:c16="http://schemas.microsoft.com/office/drawing/2014/chart" uri="{C3380CC4-5D6E-409C-BE32-E72D297353CC}">
                <c16:uniqueId val="{00000009-EC45-43E3-B594-6370D2D55B04}"/>
              </c:ext>
            </c:extLst>
          </c:dPt>
          <c:dPt>
            <c:idx val="5"/>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B-EC45-43E3-B594-6370D2D55B04}"/>
              </c:ext>
            </c:extLst>
          </c:dPt>
          <c:dPt>
            <c:idx val="6"/>
            <c:bubble3D val="0"/>
            <c:spPr>
              <a:solidFill>
                <a:schemeClr val="accent3">
                  <a:tint val="62000"/>
                </a:schemeClr>
              </a:solidFill>
              <a:ln w="19050">
                <a:solidFill>
                  <a:schemeClr val="lt1"/>
                </a:solidFill>
              </a:ln>
              <a:effectLst/>
            </c:spPr>
            <c:extLst>
              <c:ext xmlns:c16="http://schemas.microsoft.com/office/drawing/2014/chart" uri="{C3380CC4-5D6E-409C-BE32-E72D297353CC}">
                <c16:uniqueId val="{0000000D-61F2-4209-90F5-34334A2E31D3}"/>
              </c:ext>
            </c:extLst>
          </c:dPt>
          <c:dPt>
            <c:idx val="7"/>
            <c:bubble3D val="0"/>
            <c:spPr>
              <a:solidFill>
                <a:schemeClr val="accent3">
                  <a:tint val="46000"/>
                </a:schemeClr>
              </a:solidFill>
              <a:ln w="19050">
                <a:solidFill>
                  <a:schemeClr val="lt1"/>
                </a:solidFill>
              </a:ln>
              <a:effectLst/>
            </c:spPr>
            <c:extLst>
              <c:ext xmlns:c16="http://schemas.microsoft.com/office/drawing/2014/chart" uri="{C3380CC4-5D6E-409C-BE32-E72D297353CC}">
                <c16:uniqueId val="{0000000F-61F2-4209-90F5-34334A2E31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Pivot!$A$3:$A$11</c:f>
              <c:strCache>
                <c:ptCount val="8"/>
                <c:pt idx="0">
                  <c:v>Anil Desai</c:v>
                </c:pt>
                <c:pt idx="1">
                  <c:v>Divya Reddy</c:v>
                </c:pt>
                <c:pt idx="2">
                  <c:v>Geeta Pillai</c:v>
                </c:pt>
                <c:pt idx="3">
                  <c:v>Manish Tiwari</c:v>
                </c:pt>
                <c:pt idx="4">
                  <c:v>Preethi Nair</c:v>
                </c:pt>
                <c:pt idx="5">
                  <c:v>Rajiv Khanna</c:v>
                </c:pt>
                <c:pt idx="6">
                  <c:v>Siddharth Roy</c:v>
                </c:pt>
                <c:pt idx="7">
                  <c:v>Sunita Bose</c:v>
                </c:pt>
              </c:strCache>
            </c:strRef>
          </c:cat>
          <c:val>
            <c:numRef>
              <c:f>Pivot!$B$3:$B$11</c:f>
              <c:numCache>
                <c:formatCode>0</c:formatCode>
                <c:ptCount val="8"/>
                <c:pt idx="0">
                  <c:v>56.625</c:v>
                </c:pt>
                <c:pt idx="1">
                  <c:v>62.024999999999999</c:v>
                </c:pt>
                <c:pt idx="2">
                  <c:v>57.01428571428572</c:v>
                </c:pt>
                <c:pt idx="3">
                  <c:v>56.849999999999994</c:v>
                </c:pt>
                <c:pt idx="4">
                  <c:v>53.52</c:v>
                </c:pt>
                <c:pt idx="5">
                  <c:v>48.22</c:v>
                </c:pt>
                <c:pt idx="6">
                  <c:v>56.557142857142864</c:v>
                </c:pt>
                <c:pt idx="7">
                  <c:v>52.370000000000005</c:v>
                </c:pt>
              </c:numCache>
            </c:numRef>
          </c:val>
          <c:extLst>
            <c:ext xmlns:c16="http://schemas.microsoft.com/office/drawing/2014/chart" uri="{C3380CC4-5D6E-409C-BE32-E72D297353CC}">
              <c16:uniqueId val="{0000000C-E711-4BB9-AD81-444D300CDBC6}"/>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[HR_Assignment (Autosaved).xlsx]Pivot!PivotTable2</c:name>
    <c:fmtId val="1"/>
  </c:pivotSource>
  <c:chart>
    <c:autoTitleDeleted val="1"/>
    <c:pivotFmts>
      <c:pivotFmt>
        <c:idx val="0"/>
        <c:spPr>
          <a:solidFill>
            <a:schemeClr val="accent3"/>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hade val="47000"/>
            </a:schemeClr>
          </a:solidFill>
          <a:ln w="19050">
            <a:solidFill>
              <a:schemeClr val="lt1"/>
            </a:solidFill>
          </a:ln>
          <a:effectLst/>
        </c:spPr>
        <c:dLbl>
          <c:idx val="0"/>
          <c:layout>
            <c:manualLayout>
              <c:x val="4.1478413093716415E-2"/>
              <c:y val="-7.86700832746577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aseline="0"/>
                  <a:t>Eng., 2</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495568893072426"/>
                  <c:h val="0.13101872595761727"/>
                </c:manualLayout>
              </c15:layout>
            </c:ext>
          </c:extLst>
        </c:dLbl>
      </c:pivotFmt>
      <c:pivotFmt>
        <c:idx val="4"/>
        <c:spPr>
          <a:solidFill>
            <a:schemeClr val="accent3">
              <a:shade val="65000"/>
            </a:schemeClr>
          </a:solidFill>
          <a:ln w="19050">
            <a:solidFill>
              <a:schemeClr val="lt1"/>
            </a:solidFill>
          </a:ln>
          <a:effectLst/>
        </c:spPr>
        <c:dLbl>
          <c:idx val="0"/>
          <c:layout>
            <c:manualLayout>
              <c:x val="0.16154683414272908"/>
              <c:y val="-6.5558402728881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shade val="82000"/>
            </a:schemeClr>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tint val="83000"/>
            </a:schemeClr>
          </a:solidFill>
          <a:ln w="19050">
            <a:solidFill>
              <a:schemeClr val="lt1"/>
            </a:solidFill>
          </a:ln>
          <a:effectLst/>
        </c:spPr>
        <c:dLbl>
          <c:idx val="0"/>
          <c:layout>
            <c:manualLayout>
              <c:x val="-0.13098391957518582"/>
              <c:y val="9.8337604093322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tint val="65000"/>
            </a:schemeClr>
          </a:solidFill>
          <a:ln w="19050">
            <a:solidFill>
              <a:schemeClr val="lt1"/>
            </a:solidFill>
          </a:ln>
          <a:effectLst/>
        </c:spPr>
        <c:dLbl>
          <c:idx val="0"/>
          <c:layout>
            <c:manualLayout>
              <c:x val="-0.17464522610024774"/>
              <c:y val="-1.31116805457762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tint val="48000"/>
            </a:schemeClr>
          </a:solidFill>
          <a:ln w="19050">
            <a:solidFill>
              <a:schemeClr val="lt1"/>
            </a:solidFill>
          </a:ln>
          <a:effectLst/>
        </c:spPr>
        <c:dLbl>
          <c:idx val="0"/>
          <c:layout>
            <c:manualLayout>
              <c:x val="-0.11788552761766725"/>
              <c:y val="-7.86700832746577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3">
              <a:shade val="47000"/>
            </a:schemeClr>
          </a:solidFill>
          <a:ln w="19050">
            <a:solidFill>
              <a:schemeClr val="lt1"/>
            </a:solidFill>
          </a:ln>
          <a:effectLst/>
        </c:spPr>
      </c:pivotFmt>
      <c:pivotFmt>
        <c:idx val="12"/>
        <c:spPr>
          <a:solidFill>
            <a:schemeClr val="accent3">
              <a:shade val="65000"/>
            </a:schemeClr>
          </a:solidFill>
          <a:ln w="19050">
            <a:solidFill>
              <a:schemeClr val="lt1"/>
            </a:solidFill>
          </a:ln>
          <a:effectLst/>
        </c:spPr>
      </c:pivotFmt>
      <c:pivotFmt>
        <c:idx val="13"/>
        <c:spPr>
          <a:solidFill>
            <a:schemeClr val="accent3">
              <a:shade val="47000"/>
            </a:schemeClr>
          </a:solidFill>
          <a:ln w="19050">
            <a:solidFill>
              <a:schemeClr val="lt1"/>
            </a:solidFill>
          </a:ln>
          <a:effectLst/>
        </c:spPr>
      </c:pivotFmt>
      <c:pivotFmt>
        <c:idx val="14"/>
        <c:spPr>
          <a:solidFill>
            <a:schemeClr val="accent3">
              <a:shade val="92000"/>
            </a:schemeClr>
          </a:solidFill>
          <a:ln w="19050">
            <a:solidFill>
              <a:schemeClr val="lt1"/>
            </a:solidFill>
          </a:ln>
          <a:effectLst/>
        </c:spPr>
      </c:pivotFmt>
      <c:pivotFmt>
        <c:idx val="15"/>
        <c:spPr>
          <a:solidFill>
            <a:schemeClr val="accent3">
              <a:tint val="83000"/>
            </a:schemeClr>
          </a:solidFill>
          <a:ln w="19050">
            <a:solidFill>
              <a:schemeClr val="lt1"/>
            </a:solidFill>
          </a:ln>
          <a:effectLst/>
        </c:spPr>
      </c:pivotFmt>
      <c:pivotFmt>
        <c:idx val="16"/>
        <c:spPr>
          <a:solidFill>
            <a:schemeClr val="accent3">
              <a:shade val="65000"/>
            </a:schemeClr>
          </a:solidFill>
          <a:ln w="19050">
            <a:solidFill>
              <a:schemeClr val="lt1"/>
            </a:solidFill>
          </a:ln>
          <a:effectLst/>
        </c:spPr>
      </c:pivotFmt>
      <c:pivotFmt>
        <c:idx val="17"/>
        <c:spPr>
          <a:solidFill>
            <a:schemeClr val="accent3">
              <a:tint val="48000"/>
            </a:schemeClr>
          </a:solidFill>
          <a:ln w="19050">
            <a:solidFill>
              <a:schemeClr val="lt1"/>
            </a:solidFill>
          </a:ln>
          <a:effectLst/>
        </c:spPr>
      </c:pivotFmt>
      <c:pivotFmt>
        <c:idx val="18"/>
        <c:spPr>
          <a:solidFill>
            <a:schemeClr val="accent3">
              <a:tint val="46000"/>
            </a:schemeClr>
          </a:solidFill>
          <a:ln w="19050">
            <a:solidFill>
              <a:schemeClr val="lt1"/>
            </a:solidFill>
          </a:ln>
          <a:effectLst/>
        </c:spPr>
      </c:pivotFmt>
    </c:pivotFmts>
    <c:plotArea>
      <c:layout/>
      <c:doughnutChart>
        <c:varyColors val="1"/>
        <c:ser>
          <c:idx val="0"/>
          <c:order val="0"/>
          <c:tx>
            <c:strRef>
              <c:f>Pivot!$B$13</c:f>
              <c:strCache>
                <c:ptCount val="1"/>
                <c:pt idx="0">
                  <c:v>Total</c:v>
                </c:pt>
              </c:strCache>
            </c:strRef>
          </c:tx>
          <c:dPt>
            <c:idx val="0"/>
            <c:bubble3D val="0"/>
            <c:spPr>
              <a:solidFill>
                <a:schemeClr val="accent3">
                  <a:shade val="47000"/>
                </a:schemeClr>
              </a:solidFill>
              <a:ln w="19050">
                <a:solidFill>
                  <a:schemeClr val="lt1"/>
                </a:solidFill>
              </a:ln>
              <a:effectLst/>
            </c:spPr>
            <c:extLst>
              <c:ext xmlns:c16="http://schemas.microsoft.com/office/drawing/2014/chart" uri="{C3380CC4-5D6E-409C-BE32-E72D297353CC}">
                <c16:uniqueId val="{00000001-03FD-4233-9E54-61F4977F5BDC}"/>
              </c:ext>
            </c:extLst>
          </c:dPt>
          <c:dPt>
            <c:idx val="1"/>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3-03FD-4233-9E54-61F4977F5BDC}"/>
              </c:ext>
            </c:extLst>
          </c:dPt>
          <c:dPt>
            <c:idx val="2"/>
            <c:bubble3D val="0"/>
            <c:spPr>
              <a:solidFill>
                <a:schemeClr val="accent3">
                  <a:shade val="47000"/>
                </a:schemeClr>
              </a:solidFill>
              <a:ln w="19050">
                <a:solidFill>
                  <a:schemeClr val="lt1"/>
                </a:solidFill>
              </a:ln>
              <a:effectLst/>
            </c:spPr>
            <c:extLst>
              <c:ext xmlns:c16="http://schemas.microsoft.com/office/drawing/2014/chart" uri="{C3380CC4-5D6E-409C-BE32-E72D297353CC}">
                <c16:uniqueId val="{00000005-03FD-4233-9E54-61F4977F5BDC}"/>
              </c:ext>
            </c:extLst>
          </c:dPt>
          <c:dPt>
            <c:idx val="3"/>
            <c:bubble3D val="0"/>
            <c:spPr>
              <a:solidFill>
                <a:schemeClr val="accent3">
                  <a:shade val="92000"/>
                </a:schemeClr>
              </a:solidFill>
              <a:ln w="19050">
                <a:solidFill>
                  <a:schemeClr val="lt1"/>
                </a:solidFill>
              </a:ln>
              <a:effectLst/>
            </c:spPr>
            <c:extLst>
              <c:ext xmlns:c16="http://schemas.microsoft.com/office/drawing/2014/chart" uri="{C3380CC4-5D6E-409C-BE32-E72D297353CC}">
                <c16:uniqueId val="{00000007-03FD-4233-9E54-61F4977F5BDC}"/>
              </c:ext>
            </c:extLst>
          </c:dPt>
          <c:dPt>
            <c:idx val="4"/>
            <c:bubble3D val="0"/>
            <c:spPr>
              <a:solidFill>
                <a:schemeClr val="accent3">
                  <a:tint val="83000"/>
                </a:schemeClr>
              </a:solidFill>
              <a:ln w="19050">
                <a:solidFill>
                  <a:schemeClr val="lt1"/>
                </a:solidFill>
              </a:ln>
              <a:effectLst/>
            </c:spPr>
            <c:extLst>
              <c:ext xmlns:c16="http://schemas.microsoft.com/office/drawing/2014/chart" uri="{C3380CC4-5D6E-409C-BE32-E72D297353CC}">
                <c16:uniqueId val="{00000009-03FD-4233-9E54-61F4977F5BDC}"/>
              </c:ext>
            </c:extLst>
          </c:dPt>
          <c:dPt>
            <c:idx val="5"/>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B-03FD-4233-9E54-61F4977F5BDC}"/>
              </c:ext>
            </c:extLst>
          </c:dPt>
          <c:dPt>
            <c:idx val="6"/>
            <c:bubble3D val="0"/>
            <c:spPr>
              <a:solidFill>
                <a:schemeClr val="accent3">
                  <a:tint val="48000"/>
                </a:schemeClr>
              </a:solidFill>
              <a:ln w="19050">
                <a:solidFill>
                  <a:schemeClr val="lt1"/>
                </a:solidFill>
              </a:ln>
              <a:effectLst/>
            </c:spPr>
            <c:extLst>
              <c:ext xmlns:c16="http://schemas.microsoft.com/office/drawing/2014/chart" uri="{C3380CC4-5D6E-409C-BE32-E72D297353CC}">
                <c16:uniqueId val="{0000000D-03FD-4233-9E54-61F4977F5BDC}"/>
              </c:ext>
            </c:extLst>
          </c:dPt>
          <c:dPt>
            <c:idx val="7"/>
            <c:bubble3D val="0"/>
            <c:spPr>
              <a:solidFill>
                <a:schemeClr val="accent3">
                  <a:tint val="46000"/>
                </a:schemeClr>
              </a:solidFill>
              <a:ln w="19050">
                <a:solidFill>
                  <a:schemeClr val="lt1"/>
                </a:solidFill>
              </a:ln>
              <a:effectLst/>
            </c:spPr>
            <c:extLst>
              <c:ext xmlns:c16="http://schemas.microsoft.com/office/drawing/2014/chart" uri="{C3380CC4-5D6E-409C-BE32-E72D297353CC}">
                <c16:uniqueId val="{0000000F-E378-4A86-8F24-2DBA359412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Pivot!$A$14:$A$22</c:f>
              <c:strCache>
                <c:ptCount val="8"/>
                <c:pt idx="0">
                  <c:v>Engineering</c:v>
                </c:pt>
                <c:pt idx="1">
                  <c:v>Finance</c:v>
                </c:pt>
                <c:pt idx="2">
                  <c:v>HR</c:v>
                </c:pt>
                <c:pt idx="3">
                  <c:v>IT</c:v>
                </c:pt>
                <c:pt idx="4">
                  <c:v>Legal</c:v>
                </c:pt>
                <c:pt idx="5">
                  <c:v>Marketing</c:v>
                </c:pt>
                <c:pt idx="6">
                  <c:v>Sales</c:v>
                </c:pt>
                <c:pt idx="7">
                  <c:v>Operations</c:v>
                </c:pt>
              </c:strCache>
            </c:strRef>
          </c:cat>
          <c:val>
            <c:numRef>
              <c:f>Pivot!$B$14:$B$22</c:f>
              <c:numCache>
                <c:formatCode>0</c:formatCode>
                <c:ptCount val="8"/>
                <c:pt idx="0">
                  <c:v>58.524999999999999</c:v>
                </c:pt>
                <c:pt idx="1">
                  <c:v>55.24285714285714</c:v>
                </c:pt>
                <c:pt idx="2">
                  <c:v>60.316666666666663</c:v>
                </c:pt>
                <c:pt idx="3">
                  <c:v>56.283333333333339</c:v>
                </c:pt>
                <c:pt idx="4">
                  <c:v>47.6</c:v>
                </c:pt>
                <c:pt idx="5">
                  <c:v>57.477777777777789</c:v>
                </c:pt>
                <c:pt idx="6">
                  <c:v>54</c:v>
                </c:pt>
                <c:pt idx="7">
                  <c:v>48.774999999999999</c:v>
                </c:pt>
              </c:numCache>
            </c:numRef>
          </c:val>
          <c:extLst>
            <c:ext xmlns:c16="http://schemas.microsoft.com/office/drawing/2014/chart" uri="{C3380CC4-5D6E-409C-BE32-E72D297353CC}">
              <c16:uniqueId val="{0000000E-690D-47B9-B2A0-C73714F9DD07}"/>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 (Autosaved).xlsx]Pivot!PivotTable3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tx1">
                    <a:lumMod val="95000"/>
                    <a:lumOff val="5000"/>
                  </a:schemeClr>
                </a:solidFill>
                <a:latin typeface="+mn-lt"/>
                <a:ea typeface="+mn-ea"/>
                <a:cs typeface="+mn-cs"/>
              </a:rPr>
              <a:t>Top 10 At-</a:t>
            </a:r>
            <a:r>
              <a:rPr lang="en-US" baseline="0">
                <a:solidFill>
                  <a:schemeClr val="tx1">
                    <a:lumMod val="95000"/>
                    <a:lumOff val="5000"/>
                  </a:schemeClr>
                </a:solidFill>
                <a:latin typeface="+mn-lt"/>
                <a:ea typeface="+mn-ea"/>
                <a:cs typeface="+mn-cs"/>
              </a:rPr>
              <a:t>Risk Employees|Risk_Score</a:t>
            </a:r>
            <a:endParaRPr lang="en-US">
              <a:solidFill>
                <a:schemeClr val="tx1">
                  <a:lumMod val="95000"/>
                  <a:lumOff val="5000"/>
                </a:schemeClr>
              </a:solidFill>
            </a:endParaRPr>
          </a:p>
        </c:rich>
      </c:tx>
      <c:layout/>
      <c:overlay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lumMod val="7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6637203079420088E-2"/>
          <c:y val="0.21337962962962964"/>
          <c:w val="0.90272212839690302"/>
          <c:h val="0.39593795567220763"/>
        </c:manualLayout>
      </c:layout>
      <c:barChart>
        <c:barDir val="col"/>
        <c:grouping val="clustered"/>
        <c:varyColors val="0"/>
        <c:ser>
          <c:idx val="0"/>
          <c:order val="0"/>
          <c:tx>
            <c:strRef>
              <c:f>Pivot!$B$24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Pivot!$A$25:$A$36</c:f>
              <c:strCache>
                <c:ptCount val="11"/>
                <c:pt idx="0">
                  <c:v>Aarav Bose</c:v>
                </c:pt>
                <c:pt idx="1">
                  <c:v>Amit Chakraborty</c:v>
                </c:pt>
                <c:pt idx="2">
                  <c:v>Ananya Desai</c:v>
                </c:pt>
                <c:pt idx="3">
                  <c:v>Geeta Trivedi</c:v>
                </c:pt>
                <c:pt idx="4">
                  <c:v>Hema Rao</c:v>
                </c:pt>
                <c:pt idx="5">
                  <c:v>Kapil Bhattacharya</c:v>
                </c:pt>
                <c:pt idx="6">
                  <c:v>Lata Tiwari</c:v>
                </c:pt>
                <c:pt idx="7">
                  <c:v>Radha Subramaniam</c:v>
                </c:pt>
                <c:pt idx="8">
                  <c:v>Ritu Srivastava</c:v>
                </c:pt>
                <c:pt idx="9">
                  <c:v>Tarun Sen</c:v>
                </c:pt>
                <c:pt idx="10">
                  <c:v>Vinod Patel</c:v>
                </c:pt>
              </c:strCache>
            </c:strRef>
          </c:cat>
          <c:val>
            <c:numRef>
              <c:f>Pivot!$B$25:$B$36</c:f>
              <c:numCache>
                <c:formatCode>0</c:formatCode>
                <c:ptCount val="11"/>
                <c:pt idx="0">
                  <c:v>62.6</c:v>
                </c:pt>
                <c:pt idx="1">
                  <c:v>65</c:v>
                </c:pt>
                <c:pt idx="2">
                  <c:v>69.599999999999994</c:v>
                </c:pt>
                <c:pt idx="3">
                  <c:v>73.5</c:v>
                </c:pt>
                <c:pt idx="4">
                  <c:v>63.4</c:v>
                </c:pt>
                <c:pt idx="5">
                  <c:v>66.5</c:v>
                </c:pt>
                <c:pt idx="6">
                  <c:v>62.6</c:v>
                </c:pt>
                <c:pt idx="7">
                  <c:v>70.2</c:v>
                </c:pt>
                <c:pt idx="8">
                  <c:v>63.4</c:v>
                </c:pt>
                <c:pt idx="9">
                  <c:v>66.5</c:v>
                </c:pt>
                <c:pt idx="10">
                  <c:v>67.8</c:v>
                </c:pt>
              </c:numCache>
            </c:numRef>
          </c:val>
          <c:extLst>
            <c:ext xmlns:c16="http://schemas.microsoft.com/office/drawing/2014/chart" uri="{C3380CC4-5D6E-409C-BE32-E72D297353CC}">
              <c16:uniqueId val="{00000000-FDF8-4DBB-9DB3-F5C979B0100F}"/>
            </c:ext>
          </c:extLst>
        </c:ser>
        <c:dLbls>
          <c:showLegendKey val="0"/>
          <c:showVal val="1"/>
          <c:showCatName val="0"/>
          <c:showSerName val="0"/>
          <c:showPercent val="0"/>
          <c:showBubbleSize val="0"/>
        </c:dLbls>
        <c:gapWidth val="150"/>
        <c:overlap val="-25"/>
        <c:axId val="688780176"/>
        <c:axId val="688780504"/>
      </c:barChart>
      <c:catAx>
        <c:axId val="68878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80504"/>
        <c:crosses val="autoZero"/>
        <c:auto val="1"/>
        <c:lblAlgn val="ctr"/>
        <c:lblOffset val="100"/>
        <c:noMultiLvlLbl val="0"/>
      </c:catAx>
      <c:valAx>
        <c:axId val="688780504"/>
        <c:scaling>
          <c:orientation val="minMax"/>
        </c:scaling>
        <c:delete val="1"/>
        <c:axPos val="l"/>
        <c:numFmt formatCode="0" sourceLinked="1"/>
        <c:majorTickMark val="none"/>
        <c:minorTickMark val="none"/>
        <c:tickLblPos val="nextTo"/>
        <c:crossAx val="688780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 (Autosaved).xlsx]Pivot!PivotTable1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Managers</a:t>
            </a:r>
            <a:endParaRPr lang="en-IN"/>
          </a:p>
        </c:rich>
      </c:tx>
      <c:layout/>
      <c:overlay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lumMod val="7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4">
              <a:tint val="46000"/>
            </a:schemeClr>
          </a:solidFill>
          <a:ln w="19050">
            <a:solidFill>
              <a:schemeClr val="lt1"/>
            </a:solidFill>
          </a:ln>
          <a:effectLst/>
        </c:spPr>
        <c:dLbl>
          <c:idx val="0"/>
          <c:layout>
            <c:manualLayout>
              <c:x val="-1.1194663167104112E-2"/>
              <c:y val="3.0830781568970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4">
              <a:tint val="62000"/>
            </a:schemeClr>
          </a:solidFill>
          <a:ln w="19050">
            <a:solidFill>
              <a:schemeClr val="lt1"/>
            </a:solidFill>
          </a:ln>
          <a:effectLst/>
        </c:spPr>
        <c:dLbl>
          <c:idx val="0"/>
          <c:layout>
            <c:manualLayout>
              <c:x val="-2.9393591426071741E-2"/>
              <c:y val="2.395158938466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4">
              <a:tint val="77000"/>
            </a:schemeClr>
          </a:solidFill>
          <a:ln w="19050">
            <a:solidFill>
              <a:schemeClr val="lt1"/>
            </a:solidFill>
          </a:ln>
          <a:effectLst/>
        </c:spPr>
        <c:dLbl>
          <c:idx val="0"/>
          <c:layout>
            <c:manualLayout>
              <c:x val="1.9872594050743656E-2"/>
              <c:y val="-4.7316637503645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tint val="93000"/>
            </a:schemeClr>
          </a:solidFill>
          <a:ln w="19050">
            <a:solidFill>
              <a:schemeClr val="lt1"/>
            </a:solidFill>
          </a:ln>
          <a:effectLst/>
        </c:spPr>
        <c:dLbl>
          <c:idx val="0"/>
          <c:layout>
            <c:manualLayout>
              <c:x val="-9.8228674540682417E-2"/>
              <c:y val="-8.0965660542432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shade val="92000"/>
            </a:schemeClr>
          </a:solidFill>
          <a:ln w="19050">
            <a:solidFill>
              <a:schemeClr val="lt1"/>
            </a:solidFill>
          </a:ln>
          <a:effectLst/>
        </c:spPr>
        <c:dLbl>
          <c:idx val="0"/>
          <c:layout>
            <c:manualLayout>
              <c:x val="4.5135608048993879E-2"/>
              <c:y val="-1.5881816856226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4">
              <a:shade val="76000"/>
            </a:schemeClr>
          </a:solidFill>
          <a:ln w="19050">
            <a:solidFill>
              <a:schemeClr val="lt1"/>
            </a:solidFill>
          </a:ln>
          <a:effectLst/>
        </c:spPr>
        <c:dLbl>
          <c:idx val="0"/>
          <c:layout>
            <c:manualLayout>
              <c:x val="3.1105643044619423E-3"/>
              <c:y val="-1.29811898512685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4">
              <a:shade val="61000"/>
            </a:schemeClr>
          </a:solidFill>
          <a:ln w="19050">
            <a:solidFill>
              <a:schemeClr val="lt1"/>
            </a:solidFill>
          </a:ln>
          <a:effectLst/>
        </c:spPr>
        <c:dLbl>
          <c:idx val="0"/>
          <c:layout>
            <c:manualLayout>
              <c:x val="-3.1713692038495187E-3"/>
              <c:y val="5.21471274424030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4">
              <a:shade val="45000"/>
            </a:schemeClr>
          </a:solidFill>
          <a:ln w="19050">
            <a:solidFill>
              <a:schemeClr val="lt1"/>
            </a:solidFill>
          </a:ln>
          <a:effectLst/>
        </c:spPr>
        <c:dLbl>
          <c:idx val="0"/>
          <c:layout>
            <c:manualLayout>
              <c:x val="4.1546478565179353E-2"/>
              <c:y val="6.32990667833187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hade val="45000"/>
            </a:schemeClr>
          </a:solidFill>
          <a:ln w="19050">
            <a:solidFill>
              <a:schemeClr val="lt1"/>
            </a:solidFill>
          </a:ln>
          <a:effectLst/>
        </c:spPr>
        <c:dLbl>
          <c:idx val="0"/>
          <c:layout>
            <c:manualLayout>
              <c:x val="4.1546478565179353E-2"/>
              <c:y val="6.32990667833187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3"/>
        <c:spPr>
          <a:solidFill>
            <a:schemeClr val="accent4">
              <a:shade val="61000"/>
            </a:schemeClr>
          </a:solidFill>
          <a:ln w="19050">
            <a:solidFill>
              <a:schemeClr val="lt1"/>
            </a:solidFill>
          </a:ln>
          <a:effectLst/>
        </c:spPr>
        <c:dLbl>
          <c:idx val="0"/>
          <c:layout>
            <c:manualLayout>
              <c:x val="-3.1713692038495187E-3"/>
              <c:y val="5.21471274424030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4"/>
        <c:spPr>
          <a:solidFill>
            <a:schemeClr val="accent4">
              <a:shade val="76000"/>
            </a:schemeClr>
          </a:solidFill>
          <a:ln w="19050">
            <a:solidFill>
              <a:schemeClr val="lt1"/>
            </a:solidFill>
          </a:ln>
          <a:effectLst/>
        </c:spPr>
        <c:dLbl>
          <c:idx val="0"/>
          <c:layout>
            <c:manualLayout>
              <c:x val="3.1105643044619423E-3"/>
              <c:y val="-1.29811898512685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5"/>
        <c:spPr>
          <a:solidFill>
            <a:schemeClr val="accent4">
              <a:shade val="92000"/>
            </a:schemeClr>
          </a:solidFill>
          <a:ln w="19050">
            <a:solidFill>
              <a:schemeClr val="lt1"/>
            </a:solidFill>
          </a:ln>
          <a:effectLst/>
        </c:spPr>
        <c:dLbl>
          <c:idx val="0"/>
          <c:layout>
            <c:manualLayout>
              <c:x val="4.5135608048993879E-2"/>
              <c:y val="-1.5881816856226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6"/>
        <c:spPr>
          <a:solidFill>
            <a:schemeClr val="accent4">
              <a:tint val="93000"/>
            </a:schemeClr>
          </a:solidFill>
          <a:ln w="19050">
            <a:solidFill>
              <a:schemeClr val="lt1"/>
            </a:solidFill>
          </a:ln>
          <a:effectLst/>
        </c:spPr>
        <c:dLbl>
          <c:idx val="0"/>
          <c:layout>
            <c:manualLayout>
              <c:x val="-9.8228674540682417E-2"/>
              <c:y val="-8.0965660542432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7"/>
        <c:spPr>
          <a:solidFill>
            <a:schemeClr val="accent4">
              <a:tint val="77000"/>
            </a:schemeClr>
          </a:solidFill>
          <a:ln w="19050">
            <a:solidFill>
              <a:schemeClr val="lt1"/>
            </a:solidFill>
          </a:ln>
          <a:effectLst/>
        </c:spPr>
        <c:dLbl>
          <c:idx val="0"/>
          <c:layout>
            <c:manualLayout>
              <c:x val="1.9872594050743656E-2"/>
              <c:y val="-4.7316637503645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8"/>
        <c:spPr>
          <a:solidFill>
            <a:schemeClr val="accent4">
              <a:tint val="62000"/>
            </a:schemeClr>
          </a:solidFill>
          <a:ln w="19050">
            <a:solidFill>
              <a:schemeClr val="lt1"/>
            </a:solidFill>
          </a:ln>
          <a:effectLst/>
        </c:spPr>
        <c:dLbl>
          <c:idx val="0"/>
          <c:layout>
            <c:manualLayout>
              <c:x val="-2.9393591426071741E-2"/>
              <c:y val="2.395158938466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9"/>
        <c:spPr>
          <a:solidFill>
            <a:schemeClr val="accent4">
              <a:tint val="46000"/>
            </a:schemeClr>
          </a:solidFill>
          <a:ln w="19050">
            <a:solidFill>
              <a:schemeClr val="lt1"/>
            </a:solidFill>
          </a:ln>
          <a:effectLst/>
        </c:spPr>
        <c:dLbl>
          <c:idx val="0"/>
          <c:layout>
            <c:manualLayout>
              <c:x val="-1.1194663167104112E-2"/>
              <c:y val="3.0830781568970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Pivot!$B$2</c:f>
              <c:strCache>
                <c:ptCount val="1"/>
                <c:pt idx="0">
                  <c:v>Total</c:v>
                </c:pt>
              </c:strCache>
            </c:strRef>
          </c:tx>
          <c:dPt>
            <c:idx val="0"/>
            <c:bubble3D val="0"/>
            <c:spPr>
              <a:solidFill>
                <a:schemeClr val="accent4">
                  <a:shade val="45000"/>
                </a:schemeClr>
              </a:solidFill>
              <a:ln w="19050">
                <a:solidFill>
                  <a:schemeClr val="lt1"/>
                </a:solidFill>
              </a:ln>
              <a:effectLst/>
            </c:spPr>
            <c:extLst>
              <c:ext xmlns:c16="http://schemas.microsoft.com/office/drawing/2014/chart" uri="{C3380CC4-5D6E-409C-BE32-E72D297353CC}">
                <c16:uniqueId val="{00000001-74A9-482C-97C7-8CAD52C1BD20}"/>
              </c:ext>
            </c:extLst>
          </c:dPt>
          <c:dPt>
            <c:idx val="1"/>
            <c:bubble3D val="0"/>
            <c:spPr>
              <a:solidFill>
                <a:schemeClr val="accent4">
                  <a:shade val="61000"/>
                </a:schemeClr>
              </a:solidFill>
              <a:ln w="19050">
                <a:solidFill>
                  <a:schemeClr val="lt1"/>
                </a:solidFill>
              </a:ln>
              <a:effectLst/>
            </c:spPr>
            <c:extLst>
              <c:ext xmlns:c16="http://schemas.microsoft.com/office/drawing/2014/chart" uri="{C3380CC4-5D6E-409C-BE32-E72D297353CC}">
                <c16:uniqueId val="{00000003-74A9-482C-97C7-8CAD52C1BD20}"/>
              </c:ext>
            </c:extLst>
          </c:dPt>
          <c:dPt>
            <c:idx val="2"/>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5-74A9-482C-97C7-8CAD52C1BD20}"/>
              </c:ext>
            </c:extLst>
          </c:dPt>
          <c:dPt>
            <c:idx val="3"/>
            <c:bubble3D val="0"/>
            <c:spPr>
              <a:solidFill>
                <a:schemeClr val="accent4">
                  <a:shade val="92000"/>
                </a:schemeClr>
              </a:solidFill>
              <a:ln w="19050">
                <a:solidFill>
                  <a:schemeClr val="lt1"/>
                </a:solidFill>
              </a:ln>
              <a:effectLst/>
            </c:spPr>
            <c:extLst>
              <c:ext xmlns:c16="http://schemas.microsoft.com/office/drawing/2014/chart" uri="{C3380CC4-5D6E-409C-BE32-E72D297353CC}">
                <c16:uniqueId val="{00000007-74A9-482C-97C7-8CAD52C1BD20}"/>
              </c:ext>
            </c:extLst>
          </c:dPt>
          <c:dPt>
            <c:idx val="4"/>
            <c:bubble3D val="0"/>
            <c:spPr>
              <a:solidFill>
                <a:schemeClr val="accent4">
                  <a:tint val="93000"/>
                </a:schemeClr>
              </a:solidFill>
              <a:ln w="19050">
                <a:solidFill>
                  <a:schemeClr val="lt1"/>
                </a:solidFill>
              </a:ln>
              <a:effectLst/>
            </c:spPr>
            <c:extLst>
              <c:ext xmlns:c16="http://schemas.microsoft.com/office/drawing/2014/chart" uri="{C3380CC4-5D6E-409C-BE32-E72D297353CC}">
                <c16:uniqueId val="{00000009-74A9-482C-97C7-8CAD52C1BD20}"/>
              </c:ext>
            </c:extLst>
          </c:dPt>
          <c:dPt>
            <c:idx val="5"/>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B-74A9-482C-97C7-8CAD52C1BD20}"/>
              </c:ext>
            </c:extLst>
          </c:dPt>
          <c:dPt>
            <c:idx val="6"/>
            <c:bubble3D val="0"/>
            <c:spPr>
              <a:solidFill>
                <a:schemeClr val="accent4">
                  <a:tint val="62000"/>
                </a:schemeClr>
              </a:solidFill>
              <a:ln w="19050">
                <a:solidFill>
                  <a:schemeClr val="lt1"/>
                </a:solidFill>
              </a:ln>
              <a:effectLst/>
            </c:spPr>
            <c:extLst>
              <c:ext xmlns:c16="http://schemas.microsoft.com/office/drawing/2014/chart" uri="{C3380CC4-5D6E-409C-BE32-E72D297353CC}">
                <c16:uniqueId val="{0000000D-74A9-482C-97C7-8CAD52C1BD20}"/>
              </c:ext>
            </c:extLst>
          </c:dPt>
          <c:dPt>
            <c:idx val="7"/>
            <c:bubble3D val="0"/>
            <c:spPr>
              <a:solidFill>
                <a:schemeClr val="accent4">
                  <a:tint val="46000"/>
                </a:schemeClr>
              </a:solidFill>
              <a:ln w="19050">
                <a:solidFill>
                  <a:schemeClr val="lt1"/>
                </a:solidFill>
              </a:ln>
              <a:effectLst/>
            </c:spPr>
            <c:extLst>
              <c:ext xmlns:c16="http://schemas.microsoft.com/office/drawing/2014/chart" uri="{C3380CC4-5D6E-409C-BE32-E72D297353CC}">
                <c16:uniqueId val="{0000000F-74A9-482C-97C7-8CAD52C1BD20}"/>
              </c:ext>
            </c:extLst>
          </c:dPt>
          <c:dLbls>
            <c:dLbl>
              <c:idx val="0"/>
              <c:layout>
                <c:manualLayout>
                  <c:x val="4.1546478565179353E-2"/>
                  <c:y val="6.3299066783318758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4A9-482C-97C7-8CAD52C1BD20}"/>
                </c:ext>
              </c:extLst>
            </c:dLbl>
            <c:dLbl>
              <c:idx val="1"/>
              <c:layout>
                <c:manualLayout>
                  <c:x val="-3.1713692038495187E-3"/>
                  <c:y val="5.2147127442403029E-3"/>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4A9-482C-97C7-8CAD52C1BD20}"/>
                </c:ext>
              </c:extLst>
            </c:dLbl>
            <c:dLbl>
              <c:idx val="2"/>
              <c:layout>
                <c:manualLayout>
                  <c:x val="3.1105643044619423E-3"/>
                  <c:y val="-1.2981189851268592E-3"/>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4A9-482C-97C7-8CAD52C1BD20}"/>
                </c:ext>
              </c:extLst>
            </c:dLbl>
            <c:dLbl>
              <c:idx val="3"/>
              <c:layout>
                <c:manualLayout>
                  <c:x val="4.5135608048993879E-2"/>
                  <c:y val="-1.5881816856226305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4A9-482C-97C7-8CAD52C1BD20}"/>
                </c:ext>
              </c:extLst>
            </c:dLbl>
            <c:dLbl>
              <c:idx val="4"/>
              <c:layout>
                <c:manualLayout>
                  <c:x val="-9.8228674540682417E-2"/>
                  <c:y val="-8.0965660542432191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74A9-482C-97C7-8CAD52C1BD20}"/>
                </c:ext>
              </c:extLst>
            </c:dLbl>
            <c:dLbl>
              <c:idx val="5"/>
              <c:layout>
                <c:manualLayout>
                  <c:x val="1.9872594050743656E-2"/>
                  <c:y val="-4.7316637503645377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74A9-482C-97C7-8CAD52C1BD20}"/>
                </c:ext>
              </c:extLst>
            </c:dLbl>
            <c:dLbl>
              <c:idx val="6"/>
              <c:layout>
                <c:manualLayout>
                  <c:x val="-2.9393591426071741E-2"/>
                  <c:y val="2.395158938466025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74A9-482C-97C7-8CAD52C1BD20}"/>
                </c:ext>
              </c:extLst>
            </c:dLbl>
            <c:dLbl>
              <c:idx val="7"/>
              <c:layout>
                <c:manualLayout>
                  <c:x val="-1.1194663167104112E-2"/>
                  <c:y val="3.0830781568970556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74A9-482C-97C7-8CAD52C1BD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Pivot!$A$3:$A$11</c:f>
              <c:strCache>
                <c:ptCount val="8"/>
                <c:pt idx="0">
                  <c:v>Anil Desai</c:v>
                </c:pt>
                <c:pt idx="1">
                  <c:v>Divya Reddy</c:v>
                </c:pt>
                <c:pt idx="2">
                  <c:v>Geeta Pillai</c:v>
                </c:pt>
                <c:pt idx="3">
                  <c:v>Manish Tiwari</c:v>
                </c:pt>
                <c:pt idx="4">
                  <c:v>Preethi Nair</c:v>
                </c:pt>
                <c:pt idx="5">
                  <c:v>Rajiv Khanna</c:v>
                </c:pt>
                <c:pt idx="6">
                  <c:v>Siddharth Roy</c:v>
                </c:pt>
                <c:pt idx="7">
                  <c:v>Sunita Bose</c:v>
                </c:pt>
              </c:strCache>
            </c:strRef>
          </c:cat>
          <c:val>
            <c:numRef>
              <c:f>Pivot!$B$3:$B$11</c:f>
              <c:numCache>
                <c:formatCode>0</c:formatCode>
                <c:ptCount val="8"/>
                <c:pt idx="0">
                  <c:v>56.625</c:v>
                </c:pt>
                <c:pt idx="1">
                  <c:v>62.024999999999999</c:v>
                </c:pt>
                <c:pt idx="2">
                  <c:v>57.01428571428572</c:v>
                </c:pt>
                <c:pt idx="3">
                  <c:v>56.849999999999994</c:v>
                </c:pt>
                <c:pt idx="4">
                  <c:v>53.52</c:v>
                </c:pt>
                <c:pt idx="5">
                  <c:v>48.22</c:v>
                </c:pt>
                <c:pt idx="6">
                  <c:v>56.557142857142864</c:v>
                </c:pt>
                <c:pt idx="7">
                  <c:v>52.370000000000005</c:v>
                </c:pt>
              </c:numCache>
            </c:numRef>
          </c:val>
          <c:extLst>
            <c:ext xmlns:c16="http://schemas.microsoft.com/office/drawing/2014/chart" uri="{C3380CC4-5D6E-409C-BE32-E72D297353CC}">
              <c16:uniqueId val="{00000010-74A9-482C-97C7-8CAD52C1BD20}"/>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 (Autosaved).xlsx]Pivot!PivotTable2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Risk Score as per Department</a:t>
            </a:r>
            <a:endParaRPr lang="en-IN"/>
          </a:p>
        </c:rich>
      </c:tx>
      <c:layout/>
      <c:overlay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lumMod val="7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Pivot!$B$13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Pivot!$A$14:$A$22</c:f>
              <c:strCache>
                <c:ptCount val="8"/>
                <c:pt idx="0">
                  <c:v>Engineering</c:v>
                </c:pt>
                <c:pt idx="1">
                  <c:v>Finance</c:v>
                </c:pt>
                <c:pt idx="2">
                  <c:v>HR</c:v>
                </c:pt>
                <c:pt idx="3">
                  <c:v>IT</c:v>
                </c:pt>
                <c:pt idx="4">
                  <c:v>Legal</c:v>
                </c:pt>
                <c:pt idx="5">
                  <c:v>Marketing</c:v>
                </c:pt>
                <c:pt idx="6">
                  <c:v>Sales</c:v>
                </c:pt>
                <c:pt idx="7">
                  <c:v>Operations</c:v>
                </c:pt>
              </c:strCache>
            </c:strRef>
          </c:cat>
          <c:val>
            <c:numRef>
              <c:f>Pivot!$B$14:$B$22</c:f>
              <c:numCache>
                <c:formatCode>0</c:formatCode>
                <c:ptCount val="8"/>
                <c:pt idx="0">
                  <c:v>58.524999999999999</c:v>
                </c:pt>
                <c:pt idx="1">
                  <c:v>55.24285714285714</c:v>
                </c:pt>
                <c:pt idx="2">
                  <c:v>60.316666666666663</c:v>
                </c:pt>
                <c:pt idx="3">
                  <c:v>56.283333333333339</c:v>
                </c:pt>
                <c:pt idx="4">
                  <c:v>47.6</c:v>
                </c:pt>
                <c:pt idx="5">
                  <c:v>57.477777777777789</c:v>
                </c:pt>
                <c:pt idx="6">
                  <c:v>54</c:v>
                </c:pt>
                <c:pt idx="7">
                  <c:v>48.774999999999999</c:v>
                </c:pt>
              </c:numCache>
            </c:numRef>
          </c:val>
          <c:extLst>
            <c:ext xmlns:c16="http://schemas.microsoft.com/office/drawing/2014/chart" uri="{C3380CC4-5D6E-409C-BE32-E72D297353CC}">
              <c16:uniqueId val="{00000000-2980-48AA-8931-70990600A1B4}"/>
            </c:ext>
          </c:extLst>
        </c:ser>
        <c:dLbls>
          <c:showLegendKey val="0"/>
          <c:showVal val="1"/>
          <c:showCatName val="0"/>
          <c:showSerName val="0"/>
          <c:showPercent val="0"/>
          <c:showBubbleSize val="0"/>
        </c:dLbls>
        <c:gapWidth val="75"/>
        <c:axId val="625971472"/>
        <c:axId val="625976392"/>
      </c:barChart>
      <c:catAx>
        <c:axId val="62597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6392"/>
        <c:crosses val="autoZero"/>
        <c:auto val="1"/>
        <c:lblAlgn val="ctr"/>
        <c:lblOffset val="100"/>
        <c:noMultiLvlLbl val="0"/>
      </c:catAx>
      <c:valAx>
        <c:axId val="6259763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1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[HR_Assignment (Autosaved).xlsx]Pivot!PivotTable4</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Risk Band</a:t>
            </a:r>
            <a:endParaRPr lang="en-IN"/>
          </a:p>
        </c:rich>
      </c:tx>
      <c:layout/>
      <c:overlay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lumMod val="7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19050">
            <a:solidFill>
              <a:schemeClr val="lt1"/>
            </a:solidFill>
          </a:ln>
          <a:effectLst/>
        </c:spPr>
        <c:dLbl>
          <c:idx val="0"/>
          <c:layout>
            <c:manualLayout>
              <c:x val="-0.18012422360248451"/>
              <c:y val="5.1798561151079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0.19875776397515516"/>
              <c:y val="-2.8776978417266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4">
              <a:shade val="65000"/>
            </a:schemeClr>
          </a:solidFill>
          <a:ln w="19050">
            <a:solidFill>
              <a:schemeClr val="lt1"/>
            </a:solidFill>
          </a:ln>
          <a:effectLst/>
        </c:spPr>
        <c:dLbl>
          <c:idx val="0"/>
          <c:layout>
            <c:manualLayout>
              <c:x val="-0.13975155279503104"/>
              <c:y val="-0.14388489208633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marker>
          <c:symbol val="none"/>
        </c:marker>
      </c:pivotFmt>
      <c:pivotFmt>
        <c:idx val="10"/>
        <c:spPr>
          <a:solidFill>
            <a:schemeClr val="accent4">
              <a:shade val="65000"/>
            </a:schemeClr>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tint val="65000"/>
            </a:schemeClr>
          </a:solidFill>
          <a:ln w="19050">
            <a:solidFill>
              <a:schemeClr val="lt1"/>
            </a:solidFill>
          </a:ln>
          <a:effectLst/>
        </c:spPr>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tint val="65000"/>
            </a:schemeClr>
          </a:solidFill>
          <a:ln w="19050">
            <a:solidFill>
              <a:schemeClr val="lt1"/>
            </a:solidFill>
          </a:ln>
          <a:effectLst/>
        </c:spPr>
        <c:dLbl>
          <c:idx val="0"/>
          <c:layout>
            <c:manualLayout>
              <c:x val="-0.1521739130434783"/>
              <c:y val="5.7553956834532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5"/>
        <c:spPr>
          <a:solidFill>
            <a:schemeClr val="accent4">
              <a:shade val="65000"/>
            </a:schemeClr>
          </a:solidFill>
          <a:ln w="19050">
            <a:solidFill>
              <a:schemeClr val="lt1"/>
            </a:solidFill>
          </a:ln>
          <a:effectLst/>
        </c:spPr>
        <c:dLbl>
          <c:idx val="0"/>
          <c:layout>
            <c:manualLayout>
              <c:x val="-0.17701863354037267"/>
              <c:y val="-0.12086330935251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6"/>
        <c:spPr>
          <a:solidFill>
            <a:schemeClr val="accent4"/>
          </a:solidFill>
          <a:ln w="19050">
            <a:solidFill>
              <a:schemeClr val="lt1"/>
            </a:solidFill>
          </a:ln>
          <a:effectLst/>
        </c:spPr>
        <c:dLbl>
          <c:idx val="0"/>
          <c:layout>
            <c:manualLayout>
              <c:x val="0.18633540372670807"/>
              <c:y val="-3.4532374100719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Pivot!$B$39</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6727-46B1-8322-4EA0F88A716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727-46B1-8322-4EA0F88A7169}"/>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6727-46B1-8322-4EA0F88A7169}"/>
              </c:ext>
            </c:extLst>
          </c:dPt>
          <c:dLbls>
            <c:dLbl>
              <c:idx val="0"/>
              <c:layout>
                <c:manualLayout>
                  <c:x val="-0.17701863354037267"/>
                  <c:y val="-0.12086330935251799"/>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727-46B1-8322-4EA0F88A7169}"/>
                </c:ext>
              </c:extLst>
            </c:dLbl>
            <c:dLbl>
              <c:idx val="1"/>
              <c:layout>
                <c:manualLayout>
                  <c:x val="0.18633540372670807"/>
                  <c:y val="-3.4532374100719423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727-46B1-8322-4EA0F88A7169}"/>
                </c:ext>
              </c:extLst>
            </c:dLbl>
            <c:dLbl>
              <c:idx val="2"/>
              <c:layout>
                <c:manualLayout>
                  <c:x val="-0.1521739130434783"/>
                  <c:y val="5.7553956834532377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727-46B1-8322-4EA0F88A71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Pivot!$A$40:$A$43</c:f>
              <c:strCache>
                <c:ptCount val="3"/>
                <c:pt idx="0">
                  <c:v>High Risk</c:v>
                </c:pt>
                <c:pt idx="1">
                  <c:v>Low Risk</c:v>
                </c:pt>
                <c:pt idx="2">
                  <c:v>Medium Risk</c:v>
                </c:pt>
              </c:strCache>
            </c:strRef>
          </c:cat>
          <c:val>
            <c:numRef>
              <c:f>Pivot!$B$40:$B$43</c:f>
              <c:numCache>
                <c:formatCode>General</c:formatCode>
                <c:ptCount val="3"/>
                <c:pt idx="0">
                  <c:v>2</c:v>
                </c:pt>
                <c:pt idx="1">
                  <c:v>6</c:v>
                </c:pt>
                <c:pt idx="2">
                  <c:v>42</c:v>
                </c:pt>
              </c:numCache>
            </c:numRef>
          </c:val>
          <c:extLst>
            <c:ext xmlns:c16="http://schemas.microsoft.com/office/drawing/2014/chart" uri="{C3380CC4-5D6E-409C-BE32-E72D297353CC}">
              <c16:uniqueId val="{00000006-6727-46B1-8322-4EA0F88A7169}"/>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14</xdr:col>
      <xdr:colOff>18145</xdr:colOff>
      <xdr:row>5</xdr:row>
      <xdr:rowOff>174624</xdr:rowOff>
    </xdr:from>
    <xdr:to>
      <xdr:col>18</xdr:col>
      <xdr:colOff>471716</xdr:colOff>
      <xdr:row>16</xdr:row>
      <xdr:rowOff>24943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16783</xdr:colOff>
      <xdr:row>16</xdr:row>
      <xdr:rowOff>47171</xdr:rowOff>
    </xdr:from>
    <xdr:to>
      <xdr:col>18</xdr:col>
      <xdr:colOff>487591</xdr:colOff>
      <xdr:row>26</xdr:row>
      <xdr:rowOff>171224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4</xdr:row>
      <xdr:rowOff>9526</xdr:rowOff>
    </xdr:from>
    <xdr:to>
      <xdr:col>6</xdr:col>
      <xdr:colOff>215900</xdr:colOff>
      <xdr:row>16</xdr:row>
      <xdr:rowOff>15876</xdr:rowOff>
    </xdr:to>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234950</xdr:colOff>
      <xdr:row>16</xdr:row>
      <xdr:rowOff>41276</xdr:rowOff>
    </xdr:from>
    <xdr:to>
      <xdr:col>12</xdr:col>
      <xdr:colOff>561975</xdr:colOff>
      <xdr:row>28</xdr:row>
      <xdr:rowOff>23814</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16</xdr:row>
      <xdr:rowOff>39687</xdr:rowOff>
    </xdr:from>
    <xdr:to>
      <xdr:col>6</xdr:col>
      <xdr:colOff>206376</xdr:colOff>
      <xdr:row>28</xdr:row>
      <xdr:rowOff>23813</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4</xdr:row>
      <xdr:rowOff>0</xdr:rowOff>
    </xdr:from>
    <xdr:to>
      <xdr:col>12</xdr:col>
      <xdr:colOff>563562</xdr:colOff>
      <xdr:row>16</xdr:row>
      <xdr:rowOff>15875</xdr:rowOff>
    </xdr:to>
    <xdr:graphicFrame macro="">
      <xdr:nvGraphicFramePr>
        <xdr:cNvPr id="5"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65541</xdr:colOff>
      <xdr:row>11</xdr:row>
      <xdr:rowOff>136752</xdr:rowOff>
    </xdr:from>
    <xdr:to>
      <xdr:col>15</xdr:col>
      <xdr:colOff>410028</xdr:colOff>
      <xdr:row>19</xdr:row>
      <xdr:rowOff>136072</xdr:rowOff>
    </xdr:to>
    <mc:AlternateContent xmlns:mc="http://schemas.openxmlformats.org/markup-compatibility/2006" xmlns:a14="http://schemas.microsoft.com/office/drawing/2010/main">
      <mc:Choice Requires="a14">
        <xdr:graphicFrame macro="">
          <xdr:nvGraphicFramePr>
            <xdr:cNvPr id="6" name="Manager Name"/>
            <xdr:cNvGraphicFramePr/>
          </xdr:nvGraphicFramePr>
          <xdr:xfrm>
            <a:off x="0" y="0"/>
            <a:ext cx="0" cy="0"/>
          </xdr:xfrm>
          <a:graphic>
            <a:graphicData uri="http://schemas.microsoft.com/office/drawing/2010/slicer">
              <sle:slicer xmlns:sle="http://schemas.microsoft.com/office/drawing/2010/slicer" name="Manager Name"/>
            </a:graphicData>
          </a:graphic>
        </xdr:graphicFrame>
      </mc:Choice>
      <mc:Fallback xmlns="">
        <xdr:sp macro="" textlink="">
          <xdr:nvSpPr>
            <xdr:cNvPr id="0" name=""/>
            <xdr:cNvSpPr>
              <a:spLocks noTextEdit="1"/>
            </xdr:cNvSpPr>
          </xdr:nvSpPr>
          <xdr:spPr>
            <a:xfrm>
              <a:off x="8098291" y="2414815"/>
              <a:ext cx="1828800" cy="145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60654</xdr:colOff>
      <xdr:row>4</xdr:row>
      <xdr:rowOff>30164</xdr:rowOff>
    </xdr:from>
    <xdr:to>
      <xdr:col>15</xdr:col>
      <xdr:colOff>405141</xdr:colOff>
      <xdr:row>11</xdr:row>
      <xdr:rowOff>71438</xdr:rowOff>
    </xdr:to>
    <mc:AlternateContent xmlns:mc="http://schemas.openxmlformats.org/markup-compatibility/2006">
      <mc:Choice xmlns:a14="http://schemas.microsoft.com/office/drawing/2010/main" Requires="a14">
        <xdr:graphicFrame macro="">
          <xdr:nvGraphicFramePr>
            <xdr:cNvPr id="7" name="Risk Band"/>
            <xdr:cNvGraphicFramePr/>
          </xdr:nvGraphicFramePr>
          <xdr:xfrm>
            <a:off x="0" y="0"/>
            <a:ext cx="0" cy="0"/>
          </xdr:xfrm>
          <a:graphic>
            <a:graphicData uri="http://schemas.microsoft.com/office/drawing/2010/slicer">
              <sle:slicer xmlns:sle="http://schemas.microsoft.com/office/drawing/2010/slicer" name="Risk Band"/>
            </a:graphicData>
          </a:graphic>
        </xdr:graphicFrame>
      </mc:Choice>
      <mc:Fallback>
        <xdr:sp macro="" textlink="">
          <xdr:nvSpPr>
            <xdr:cNvPr id="0" name=""/>
            <xdr:cNvSpPr>
              <a:spLocks noTextEdit="1"/>
            </xdr:cNvSpPr>
          </xdr:nvSpPr>
          <xdr:spPr>
            <a:xfrm>
              <a:off x="8111286" y="1030107"/>
              <a:ext cx="1833453" cy="1318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62508</xdr:colOff>
      <xdr:row>20</xdr:row>
      <xdr:rowOff>5193</xdr:rowOff>
    </xdr:from>
    <xdr:to>
      <xdr:col>15</xdr:col>
      <xdr:colOff>430631</xdr:colOff>
      <xdr:row>28</xdr:row>
      <xdr:rowOff>10637</xdr:rowOff>
    </xdr:to>
    <mc:AlternateContent xmlns:mc="http://schemas.openxmlformats.org/markup-compatibility/2006">
      <mc:Choice xmlns:a14="http://schemas.microsoft.com/office/drawing/2010/main" Requires="a14">
        <xdr:graphicFrame macro="">
          <xdr:nvGraphicFramePr>
            <xdr:cNvPr id="8"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113140" y="3924676"/>
              <a:ext cx="1857089" cy="146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168.876768055554" createdVersion="6" refreshedVersion="6" minRefreshableVersion="3" recordCount="50">
  <cacheSource type="worksheet">
    <worksheetSource name="Risk_Score"/>
  </cacheSource>
  <cacheFields count="15">
    <cacheField name="Emp ID" numFmtId="0">
      <sharedItems/>
    </cacheField>
    <cacheField name="Name" numFmtId="0">
      <sharedItems count="50">
        <s v="Priya Trivedi"/>
        <s v="Kapil Pandey"/>
        <s v="Pranav Agarwal"/>
        <s v="Geeta Goel"/>
        <s v="Suresh Mishra"/>
        <s v="Neha Pandey"/>
        <s v="Ritu Srivastava"/>
        <s v="Alok Dutta"/>
        <s v="Kavya Subramaniam"/>
        <s v="Alok Ghosh"/>
        <s v="Pooja Agarwal"/>
        <s v="Usha Joshi"/>
        <s v="Nisha Das"/>
        <s v="Mala Bhatia"/>
        <s v="Vikas Singh"/>
        <s v="Divya Pillai"/>
        <s v="Shreya Bhatia"/>
        <s v="Nikhil Singh"/>
        <s v="Geeta Trivedi"/>
        <s v="Ananya Desai"/>
        <s v="Hema Rao"/>
        <s v="Naveen Chauhan"/>
        <s v="Kapil Bose"/>
        <s v="Priya Iyer"/>
        <s v="Hema Sinha"/>
        <s v="Ritu Bose"/>
        <s v="Naveen Krishnan"/>
        <s v="Divya Choudhury"/>
        <s v="Shreya Rathore"/>
        <s v="Radha Subramaniam"/>
        <s v="Aarav Bose"/>
        <s v="Hema Dutta"/>
        <s v="Rohit Saxena"/>
        <s v="Alok Yadav"/>
        <s v="Pranav Singh"/>
        <s v="Bhavna Joshi"/>
        <s v="Meera Verma"/>
        <s v="Amit Chakraborty"/>
        <s v="Pranav Nair"/>
        <s v="Lata Tiwari"/>
        <s v="Kapil Bhattacharya"/>
        <s v="Suresh Krishnan"/>
        <s v="Vinod Patel"/>
        <s v="Ritu Menon"/>
        <s v="Bhavna Kumar"/>
        <s v="Gaurav Verma"/>
        <s v="Tarun Sen"/>
        <s v="Ananya Jha"/>
        <s v="Divya Yadav"/>
        <s v="Ritu Krishnan"/>
      </sharedItems>
    </cacheField>
    <cacheField name="Department" numFmtId="0">
      <sharedItems count="8">
        <s v="Marketing"/>
        <s v="IT"/>
        <s v="Engineering"/>
        <s v="Sales"/>
        <s v="Legal"/>
        <s v="Operations"/>
        <s v="HR"/>
        <s v="Finance"/>
      </sharedItems>
    </cacheField>
    <cacheField name="Manager Name" numFmtId="0">
      <sharedItems count="8">
        <s v="Rajiv Khanna"/>
        <s v="Geeta Pillai"/>
        <s v="Manish Tiwari"/>
        <s v="Siddharth Roy"/>
        <s v="Divya Reddy"/>
        <s v="Preethi Nair"/>
        <s v="Anil Desai"/>
        <s v="Sunita Bose"/>
      </sharedItems>
    </cacheField>
    <cacheField name="Tenure Yrs" numFmtId="0">
      <sharedItems containsSemiMixedTypes="0" containsString="0" containsNumber="1" containsInteger="1" minValue="4" maxValue="15"/>
    </cacheField>
    <cacheField name="Age" numFmtId="0">
      <sharedItems containsSemiMixedTypes="0" containsString="0" containsNumber="1" containsInteger="1" minValue="27" maxValue="58"/>
    </cacheField>
    <cacheField name="Age Band" numFmtId="0">
      <sharedItems/>
    </cacheField>
    <cacheField name="Promo Gap Yrs" numFmtId="0">
      <sharedItems containsSemiMixedTypes="0" containsString="0" containsNumber="1" containsInteger="1" minValue="2" maxValue="14"/>
    </cacheField>
    <cacheField name="Perf Rating" numFmtId="1">
      <sharedItems containsSemiMixedTypes="0" containsString="0" containsNumber="1" containsInteger="1" minValue="1" maxValue="5"/>
    </cacheField>
    <cacheField name="Tenure Score" numFmtId="1">
      <sharedItems containsSemiMixedTypes="0" containsString="0" containsNumber="1" minValue="0" maxValue="73.333333333333329"/>
    </cacheField>
    <cacheField name="Promo Gap Score" numFmtId="1">
      <sharedItems containsSemiMixedTypes="0" containsString="0" containsNumber="1" containsInteger="1" minValue="40" maxValue="100"/>
    </cacheField>
    <cacheField name="Perf Score" numFmtId="0">
      <sharedItems containsSemiMixedTypes="0" containsString="0" containsNumber="1" containsInteger="1" minValue="0" maxValue="100"/>
    </cacheField>
    <cacheField name="Risk Score" numFmtId="167">
      <sharedItems containsSemiMixedTypes="0" containsString="0" containsNumber="1" minValue="40" maxValue="73.5"/>
    </cacheField>
    <cacheField name="Risk Band" numFmtId="0">
      <sharedItems count="3">
        <s v="Medium Risk"/>
        <s v="Low Risk"/>
        <s v="High Risk"/>
      </sharedItems>
    </cacheField>
    <cacheField name="Rank " numFmtId="1">
      <sharedItems containsSemiMixedTypes="0" containsString="0" containsNumber="1" containsInteger="1" minValue="1" maxValue="5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s v="EMP2824"/>
    <x v="0"/>
    <x v="0"/>
    <x v="0"/>
    <n v="13"/>
    <n v="58"/>
    <s v="50+"/>
    <n v="8"/>
    <n v="3"/>
    <n v="13.333333333333334"/>
    <n v="100"/>
    <n v="50"/>
    <n v="57.2"/>
    <x v="0"/>
    <n v="22"/>
  </r>
  <r>
    <s v="EMP1106"/>
    <x v="1"/>
    <x v="1"/>
    <x v="1"/>
    <n v="11"/>
    <n v="38"/>
    <s v="30-39"/>
    <n v="10"/>
    <n v="3"/>
    <n v="26.666666666666668"/>
    <n v="100"/>
    <n v="50"/>
    <n v="61.8"/>
    <x v="0"/>
    <n v="13"/>
  </r>
  <r>
    <s v="EMP6925"/>
    <x v="2"/>
    <x v="2"/>
    <x v="1"/>
    <n v="15"/>
    <n v="47"/>
    <s v="40-49"/>
    <n v="14"/>
    <n v="3"/>
    <n v="0"/>
    <n v="100"/>
    <n v="50"/>
    <n v="52.5"/>
    <x v="0"/>
    <n v="30"/>
  </r>
  <r>
    <s v="EMP4598"/>
    <x v="3"/>
    <x v="3"/>
    <x v="1"/>
    <n v="13"/>
    <n v="44"/>
    <s v="40-49"/>
    <n v="12"/>
    <n v="5"/>
    <n v="13.333333333333334"/>
    <n v="100"/>
    <n v="0"/>
    <n v="44.7"/>
    <x v="1"/>
    <n v="45"/>
  </r>
  <r>
    <s v="EMP6930"/>
    <x v="4"/>
    <x v="4"/>
    <x v="2"/>
    <n v="15"/>
    <n v="40"/>
    <s v="40-49"/>
    <n v="12"/>
    <n v="4"/>
    <n v="0"/>
    <n v="100"/>
    <n v="25"/>
    <n v="46.3"/>
    <x v="0"/>
    <n v="42"/>
  </r>
  <r>
    <s v="EMP5808"/>
    <x v="5"/>
    <x v="4"/>
    <x v="3"/>
    <n v="15"/>
    <n v="45"/>
    <s v="40-49"/>
    <n v="14"/>
    <n v="5"/>
    <n v="0"/>
    <n v="100"/>
    <n v="0"/>
    <n v="40"/>
    <x v="1"/>
    <n v="49"/>
  </r>
  <r>
    <s v="EMP6947"/>
    <x v="6"/>
    <x v="3"/>
    <x v="4"/>
    <n v="13"/>
    <n v="36"/>
    <s v="30-39"/>
    <n v="11"/>
    <n v="2"/>
    <n v="13.333333333333334"/>
    <n v="100"/>
    <n v="75"/>
    <n v="63.4"/>
    <x v="0"/>
    <n v="8"/>
  </r>
  <r>
    <s v="EMP7118"/>
    <x v="7"/>
    <x v="4"/>
    <x v="0"/>
    <n v="14"/>
    <n v="39"/>
    <s v="30-39"/>
    <n v="9"/>
    <n v="4"/>
    <n v="6.666666666666667"/>
    <n v="100"/>
    <n v="25"/>
    <n v="48.6"/>
    <x v="0"/>
    <n v="37"/>
  </r>
  <r>
    <s v="EMP8744"/>
    <x v="8"/>
    <x v="1"/>
    <x v="0"/>
    <n v="13"/>
    <n v="55"/>
    <s v="50+"/>
    <n v="8"/>
    <n v="5"/>
    <n v="13.333333333333334"/>
    <n v="100"/>
    <n v="0"/>
    <n v="44.7"/>
    <x v="1"/>
    <n v="46"/>
  </r>
  <r>
    <s v="EMP2235"/>
    <x v="9"/>
    <x v="2"/>
    <x v="5"/>
    <n v="15"/>
    <n v="38"/>
    <s v="30-39"/>
    <n v="14"/>
    <n v="3"/>
    <n v="0"/>
    <n v="100"/>
    <n v="50"/>
    <n v="52.5"/>
    <x v="0"/>
    <n v="31"/>
  </r>
  <r>
    <s v="EMP8973"/>
    <x v="10"/>
    <x v="0"/>
    <x v="6"/>
    <n v="13"/>
    <n v="58"/>
    <s v="50+"/>
    <n v="10"/>
    <n v="4"/>
    <n v="13.333333333333334"/>
    <n v="100"/>
    <n v="25"/>
    <n v="50.9"/>
    <x v="0"/>
    <n v="33"/>
  </r>
  <r>
    <s v="EMP1651"/>
    <x v="11"/>
    <x v="1"/>
    <x v="3"/>
    <n v="5"/>
    <n v="43"/>
    <s v="40-49"/>
    <n v="3"/>
    <n v="3"/>
    <n v="66.666666666666657"/>
    <n v="60"/>
    <n v="50"/>
    <n v="59.8"/>
    <x v="0"/>
    <n v="17"/>
  </r>
  <r>
    <s v="EMP9808"/>
    <x v="12"/>
    <x v="0"/>
    <x v="3"/>
    <n v="14"/>
    <n v="42"/>
    <s v="40-49"/>
    <n v="11"/>
    <n v="4"/>
    <n v="6.666666666666667"/>
    <n v="100"/>
    <n v="25"/>
    <n v="48.6"/>
    <x v="0"/>
    <n v="38"/>
  </r>
  <r>
    <s v="EMP4450"/>
    <x v="13"/>
    <x v="5"/>
    <x v="3"/>
    <n v="5"/>
    <n v="35"/>
    <s v="30-39"/>
    <n v="3"/>
    <n v="4"/>
    <n v="66.666666666666657"/>
    <n v="60"/>
    <n v="25"/>
    <n v="53.6"/>
    <x v="0"/>
    <n v="27"/>
  </r>
  <r>
    <s v="EMP3442"/>
    <x v="14"/>
    <x v="5"/>
    <x v="0"/>
    <n v="6"/>
    <n v="42"/>
    <s v="40-49"/>
    <n v="3"/>
    <n v="5"/>
    <n v="60"/>
    <n v="60"/>
    <n v="0"/>
    <n v="45"/>
    <x v="0"/>
    <n v="44"/>
  </r>
  <r>
    <s v="EMP3662"/>
    <x v="15"/>
    <x v="3"/>
    <x v="7"/>
    <n v="13"/>
    <n v="48"/>
    <s v="40-49"/>
    <n v="12"/>
    <n v="5"/>
    <n v="13.333333333333334"/>
    <n v="100"/>
    <n v="0"/>
    <n v="44.7"/>
    <x v="1"/>
    <n v="47"/>
  </r>
  <r>
    <s v="EMP4164"/>
    <x v="16"/>
    <x v="0"/>
    <x v="3"/>
    <n v="14"/>
    <n v="56"/>
    <s v="50+"/>
    <n v="9"/>
    <n v="2"/>
    <n v="6.666666666666667"/>
    <n v="100"/>
    <n v="75"/>
    <n v="61.1"/>
    <x v="0"/>
    <n v="14"/>
  </r>
  <r>
    <s v="EMP4114"/>
    <x v="17"/>
    <x v="1"/>
    <x v="1"/>
    <n v="15"/>
    <n v="54"/>
    <s v="50+"/>
    <n v="13"/>
    <n v="2"/>
    <n v="0"/>
    <n v="100"/>
    <n v="75"/>
    <n v="58.8"/>
    <x v="0"/>
    <n v="18"/>
  </r>
  <r>
    <s v="EMP7211"/>
    <x v="18"/>
    <x v="6"/>
    <x v="1"/>
    <n v="6"/>
    <n v="40"/>
    <s v="40-49"/>
    <n v="6"/>
    <n v="3"/>
    <n v="60"/>
    <n v="100"/>
    <n v="50"/>
    <n v="73.5"/>
    <x v="2"/>
    <n v="1"/>
  </r>
  <r>
    <s v="EMP6491"/>
    <x v="19"/>
    <x v="7"/>
    <x v="7"/>
    <n v="5"/>
    <n v="34"/>
    <s v="30-39"/>
    <n v="5"/>
    <n v="4"/>
    <n v="66.666666666666657"/>
    <n v="100"/>
    <n v="25"/>
    <n v="69.599999999999994"/>
    <x v="0"/>
    <n v="3"/>
  </r>
  <r>
    <s v="EMP2746"/>
    <x v="20"/>
    <x v="7"/>
    <x v="4"/>
    <n v="13"/>
    <n v="50"/>
    <s v="50+"/>
    <n v="12"/>
    <n v="2"/>
    <n v="13.333333333333334"/>
    <n v="100"/>
    <n v="75"/>
    <n v="63.4"/>
    <x v="0"/>
    <n v="9"/>
  </r>
  <r>
    <s v="EMP5050"/>
    <x v="21"/>
    <x v="4"/>
    <x v="7"/>
    <n v="6"/>
    <n v="42"/>
    <s v="40-49"/>
    <n v="3"/>
    <n v="3"/>
    <n v="60"/>
    <n v="60"/>
    <n v="50"/>
    <n v="57.5"/>
    <x v="0"/>
    <n v="20"/>
  </r>
  <r>
    <s v="EMP1320"/>
    <x v="22"/>
    <x v="1"/>
    <x v="5"/>
    <n v="9"/>
    <n v="39"/>
    <s v="30-39"/>
    <n v="4"/>
    <n v="4"/>
    <n v="40"/>
    <n v="80"/>
    <n v="25"/>
    <n v="52.3"/>
    <x v="0"/>
    <n v="32"/>
  </r>
  <r>
    <s v="EMP9751"/>
    <x v="23"/>
    <x v="3"/>
    <x v="4"/>
    <n v="14"/>
    <n v="40"/>
    <s v="40-49"/>
    <n v="14"/>
    <n v="3"/>
    <n v="6.666666666666667"/>
    <n v="100"/>
    <n v="50"/>
    <n v="54.8"/>
    <x v="0"/>
    <n v="25"/>
  </r>
  <r>
    <s v="EMP2124"/>
    <x v="24"/>
    <x v="3"/>
    <x v="7"/>
    <n v="4"/>
    <n v="32"/>
    <s v="30-39"/>
    <n v="3"/>
    <n v="3"/>
    <n v="73.333333333333329"/>
    <n v="60"/>
    <n v="50"/>
    <n v="62.2"/>
    <x v="0"/>
    <n v="12"/>
  </r>
  <r>
    <s v="EMP1420"/>
    <x v="25"/>
    <x v="1"/>
    <x v="7"/>
    <n v="9"/>
    <n v="33"/>
    <s v="30-39"/>
    <n v="8"/>
    <n v="4"/>
    <n v="40"/>
    <n v="100"/>
    <n v="25"/>
    <n v="60.3"/>
    <x v="0"/>
    <n v="16"/>
  </r>
  <r>
    <s v="EMP6934"/>
    <x v="26"/>
    <x v="6"/>
    <x v="2"/>
    <n v="10"/>
    <n v="47"/>
    <s v="40-49"/>
    <n v="4"/>
    <n v="4"/>
    <n v="33.333333333333329"/>
    <n v="80"/>
    <n v="25"/>
    <n v="49.9"/>
    <x v="0"/>
    <n v="35"/>
  </r>
  <r>
    <s v="EMP6325"/>
    <x v="27"/>
    <x v="7"/>
    <x v="5"/>
    <n v="11"/>
    <n v="40"/>
    <s v="40-49"/>
    <n v="8"/>
    <n v="4"/>
    <n v="26.666666666666668"/>
    <n v="100"/>
    <n v="25"/>
    <n v="55.6"/>
    <x v="0"/>
    <n v="23"/>
  </r>
  <r>
    <s v="EMP4630"/>
    <x v="28"/>
    <x v="7"/>
    <x v="1"/>
    <n v="11"/>
    <n v="44"/>
    <s v="40-49"/>
    <n v="6"/>
    <n v="5"/>
    <n v="26.666666666666668"/>
    <n v="100"/>
    <n v="0"/>
    <n v="49.3"/>
    <x v="0"/>
    <n v="36"/>
  </r>
  <r>
    <s v="EMP4545"/>
    <x v="29"/>
    <x v="0"/>
    <x v="6"/>
    <n v="4"/>
    <n v="42"/>
    <s v="40-49"/>
    <n v="4"/>
    <n v="3"/>
    <n v="73.333333333333329"/>
    <n v="80"/>
    <n v="50"/>
    <n v="70.2"/>
    <x v="2"/>
    <n v="2"/>
  </r>
  <r>
    <s v="EMP2680"/>
    <x v="30"/>
    <x v="0"/>
    <x v="2"/>
    <n v="8"/>
    <n v="41"/>
    <s v="40-49"/>
    <n v="5"/>
    <n v="4"/>
    <n v="46.666666666666664"/>
    <n v="100"/>
    <n v="25"/>
    <n v="62.6"/>
    <x v="0"/>
    <n v="10"/>
  </r>
  <r>
    <s v="EMP4697"/>
    <x v="31"/>
    <x v="0"/>
    <x v="7"/>
    <n v="8"/>
    <n v="48"/>
    <s v="40-49"/>
    <n v="4"/>
    <n v="4"/>
    <n v="46.666666666666664"/>
    <n v="80"/>
    <n v="25"/>
    <n v="54.6"/>
    <x v="0"/>
    <n v="26"/>
  </r>
  <r>
    <s v="EMP5771"/>
    <x v="32"/>
    <x v="0"/>
    <x v="5"/>
    <n v="5"/>
    <n v="41"/>
    <s v="40-49"/>
    <n v="3"/>
    <n v="4"/>
    <n v="66.666666666666657"/>
    <n v="60"/>
    <n v="25"/>
    <n v="53.6"/>
    <x v="0"/>
    <n v="28"/>
  </r>
  <r>
    <s v="EMP5728"/>
    <x v="33"/>
    <x v="4"/>
    <x v="0"/>
    <n v="5"/>
    <n v="39"/>
    <s v="30-39"/>
    <n v="2"/>
    <n v="4"/>
    <n v="66.666666666666657"/>
    <n v="40"/>
    <n v="25"/>
    <n v="45.6"/>
    <x v="0"/>
    <n v="43"/>
  </r>
  <r>
    <s v="EMP5415"/>
    <x v="34"/>
    <x v="6"/>
    <x v="7"/>
    <n v="8"/>
    <n v="45"/>
    <s v="40-49"/>
    <n v="3"/>
    <n v="4"/>
    <n v="46.666666666666664"/>
    <n v="60"/>
    <n v="25"/>
    <n v="46.6"/>
    <x v="0"/>
    <n v="41"/>
  </r>
  <r>
    <s v="EMP1601"/>
    <x v="35"/>
    <x v="5"/>
    <x v="2"/>
    <n v="11"/>
    <n v="45"/>
    <s v="40-49"/>
    <n v="10"/>
    <n v="4"/>
    <n v="26.666666666666668"/>
    <n v="100"/>
    <n v="25"/>
    <n v="55.6"/>
    <x v="0"/>
    <n v="24"/>
  </r>
  <r>
    <s v="EMP8941"/>
    <x v="36"/>
    <x v="7"/>
    <x v="7"/>
    <n v="5"/>
    <n v="44"/>
    <s v="40-49"/>
    <n v="3"/>
    <n v="5"/>
    <n v="66.666666666666657"/>
    <n v="60"/>
    <n v="0"/>
    <n v="47.3"/>
    <x v="0"/>
    <n v="40"/>
  </r>
  <r>
    <s v="EMP7284"/>
    <x v="37"/>
    <x v="6"/>
    <x v="3"/>
    <n v="15"/>
    <n v="49"/>
    <s v="40-49"/>
    <n v="9"/>
    <n v="1"/>
    <n v="0"/>
    <n v="100"/>
    <n v="100"/>
    <n v="65"/>
    <x v="0"/>
    <n v="7"/>
  </r>
  <r>
    <s v="EMP4912"/>
    <x v="38"/>
    <x v="7"/>
    <x v="6"/>
    <n v="4"/>
    <n v="35"/>
    <s v="30-39"/>
    <n v="2"/>
    <n v="4"/>
    <n v="73.333333333333329"/>
    <n v="40"/>
    <n v="25"/>
    <n v="47.9"/>
    <x v="0"/>
    <n v="39"/>
  </r>
  <r>
    <s v="EMP7717"/>
    <x v="39"/>
    <x v="2"/>
    <x v="2"/>
    <n v="8"/>
    <n v="49"/>
    <s v="40-49"/>
    <n v="7"/>
    <n v="4"/>
    <n v="46.666666666666664"/>
    <n v="100"/>
    <n v="25"/>
    <n v="62.6"/>
    <x v="0"/>
    <n v="11"/>
  </r>
  <r>
    <s v="EMP2612"/>
    <x v="40"/>
    <x v="2"/>
    <x v="2"/>
    <n v="9"/>
    <n v="40"/>
    <s v="40-49"/>
    <n v="6"/>
    <n v="3"/>
    <n v="40"/>
    <n v="100"/>
    <n v="50"/>
    <n v="66.5"/>
    <x v="0"/>
    <n v="5"/>
  </r>
  <r>
    <s v="EMP3344"/>
    <x v="41"/>
    <x v="0"/>
    <x v="1"/>
    <n v="9"/>
    <n v="30"/>
    <s v="30-39"/>
    <n v="4"/>
    <n v="3"/>
    <n v="40"/>
    <n v="80"/>
    <n v="50"/>
    <n v="58.5"/>
    <x v="0"/>
    <n v="19"/>
  </r>
  <r>
    <s v="EMP5847"/>
    <x v="42"/>
    <x v="3"/>
    <x v="3"/>
    <n v="5"/>
    <n v="27"/>
    <s v="Under 30"/>
    <n v="4"/>
    <n v="3"/>
    <n v="66.666666666666657"/>
    <n v="80"/>
    <n v="50"/>
    <n v="67.8"/>
    <x v="0"/>
    <n v="4"/>
  </r>
  <r>
    <s v="EMP1645"/>
    <x v="43"/>
    <x v="3"/>
    <x v="6"/>
    <n v="6"/>
    <n v="33"/>
    <s v="30-39"/>
    <n v="3"/>
    <n v="3"/>
    <n v="60"/>
    <n v="60"/>
    <n v="50"/>
    <n v="57.5"/>
    <x v="0"/>
    <n v="21"/>
  </r>
  <r>
    <s v="EMP2886"/>
    <x v="44"/>
    <x v="6"/>
    <x v="2"/>
    <n v="4"/>
    <n v="46"/>
    <s v="40-49"/>
    <n v="2"/>
    <n v="2"/>
    <n v="73.333333333333329"/>
    <n v="40"/>
    <n v="75"/>
    <n v="60.4"/>
    <x v="0"/>
    <n v="15"/>
  </r>
  <r>
    <s v="EMP4830"/>
    <x v="45"/>
    <x v="5"/>
    <x v="7"/>
    <n v="7"/>
    <n v="30"/>
    <s v="30-39"/>
    <n v="2"/>
    <n v="4"/>
    <n v="53.333333333333336"/>
    <n v="40"/>
    <n v="25"/>
    <n v="40.9"/>
    <x v="1"/>
    <n v="48"/>
  </r>
  <r>
    <s v="EMP9850"/>
    <x v="46"/>
    <x v="6"/>
    <x v="4"/>
    <n v="9"/>
    <n v="46"/>
    <s v="40-49"/>
    <n v="7"/>
    <n v="3"/>
    <n v="40"/>
    <n v="100"/>
    <n v="50"/>
    <n v="66.5"/>
    <x v="0"/>
    <n v="6"/>
  </r>
  <r>
    <s v="EMP8450"/>
    <x v="47"/>
    <x v="7"/>
    <x v="5"/>
    <n v="5"/>
    <n v="28"/>
    <s v="Under 30"/>
    <n v="3"/>
    <n v="4"/>
    <n v="66.666666666666657"/>
    <n v="60"/>
    <n v="25"/>
    <n v="53.6"/>
    <x v="0"/>
    <n v="29"/>
  </r>
  <r>
    <s v="EMP5106"/>
    <x v="48"/>
    <x v="3"/>
    <x v="2"/>
    <n v="13"/>
    <n v="42"/>
    <s v="40-49"/>
    <n v="13"/>
    <n v="4"/>
    <n v="13.333333333333334"/>
    <n v="100"/>
    <n v="25"/>
    <n v="50.9"/>
    <x v="0"/>
    <n v="34"/>
  </r>
  <r>
    <s v="EMP9543"/>
    <x v="49"/>
    <x v="3"/>
    <x v="7"/>
    <n v="15"/>
    <n v="49"/>
    <s v="40-49"/>
    <n v="14"/>
    <n v="5"/>
    <n v="0"/>
    <n v="100"/>
    <n v="0"/>
    <n v="40"/>
    <x v="1"/>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9:B43" firstHeaderRow="1" firstDataRow="1" firstDataCol="1"/>
  <pivotFields count="15">
    <pivotField dataField="1" showAll="0"/>
    <pivotField showAll="0"/>
    <pivotField showAll="0">
      <items count="9">
        <item x="2"/>
        <item x="7"/>
        <item x="6"/>
        <item x="1"/>
        <item x="4"/>
        <item x="0"/>
        <item x="5"/>
        <item x="3"/>
        <item t="default"/>
      </items>
    </pivotField>
    <pivotField showAll="0">
      <items count="9">
        <item x="6"/>
        <item x="4"/>
        <item x="1"/>
        <item x="2"/>
        <item x="5"/>
        <item x="0"/>
        <item x="3"/>
        <item x="7"/>
        <item t="default"/>
      </items>
    </pivotField>
    <pivotField showAll="0"/>
    <pivotField showAll="0"/>
    <pivotField showAll="0"/>
    <pivotField showAll="0"/>
    <pivotField numFmtId="1" showAll="0"/>
    <pivotField numFmtId="1" showAll="0"/>
    <pivotField numFmtId="1" showAll="0"/>
    <pivotField showAll="0"/>
    <pivotField numFmtId="167" showAll="0"/>
    <pivotField axis="axisRow" showAll="0">
      <items count="4">
        <item x="2"/>
        <item x="1"/>
        <item x="0"/>
        <item t="default"/>
      </items>
    </pivotField>
    <pivotField numFmtId="1" showAll="0"/>
  </pivotFields>
  <rowFields count="1">
    <field x="13"/>
  </rowFields>
  <rowItems count="4">
    <i>
      <x/>
    </i>
    <i>
      <x v="1"/>
    </i>
    <i>
      <x v="2"/>
    </i>
    <i t="grand">
      <x/>
    </i>
  </rowItems>
  <colItems count="1">
    <i/>
  </colItems>
  <dataFields count="1">
    <dataField name="Count of Emp ID" fld="0" subtotal="count" baseField="0" baseItem="0"/>
  </dataFields>
  <chartFormats count="4">
    <chartFormat chart="1" format="13" series="1">
      <pivotArea type="data" outline="0" fieldPosition="0">
        <references count="1">
          <reference field="4294967294" count="1" selected="0">
            <x v="0"/>
          </reference>
        </references>
      </pivotArea>
    </chartFormat>
    <chartFormat chart="1" format="14">
      <pivotArea type="data" outline="0" fieldPosition="0">
        <references count="2">
          <reference field="4294967294" count="1" selected="0">
            <x v="0"/>
          </reference>
          <reference field="13" count="1" selected="0">
            <x v="2"/>
          </reference>
        </references>
      </pivotArea>
    </chartFormat>
    <chartFormat chart="1" format="15">
      <pivotArea type="data" outline="0" fieldPosition="0">
        <references count="2">
          <reference field="4294967294" count="1" selected="0">
            <x v="0"/>
          </reference>
          <reference field="13" count="1" selected="0">
            <x v="0"/>
          </reference>
        </references>
      </pivotArea>
    </chartFormat>
    <chartFormat chart="1" format="1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4:B36" firstHeaderRow="1" firstDataRow="1" firstDataCol="1"/>
  <pivotFields count="15">
    <pivotField showAll="0"/>
    <pivotField axis="axisRow" showAll="0" measureFilter="1">
      <items count="51">
        <item x="30"/>
        <item x="7"/>
        <item x="9"/>
        <item x="33"/>
        <item x="37"/>
        <item x="19"/>
        <item x="47"/>
        <item x="35"/>
        <item x="44"/>
        <item x="27"/>
        <item x="15"/>
        <item x="48"/>
        <item x="45"/>
        <item x="3"/>
        <item x="18"/>
        <item x="31"/>
        <item x="20"/>
        <item x="24"/>
        <item x="40"/>
        <item x="22"/>
        <item x="1"/>
        <item x="8"/>
        <item x="39"/>
        <item x="13"/>
        <item x="36"/>
        <item x="21"/>
        <item x="26"/>
        <item x="5"/>
        <item x="17"/>
        <item x="12"/>
        <item x="10"/>
        <item x="2"/>
        <item x="38"/>
        <item x="34"/>
        <item x="23"/>
        <item x="0"/>
        <item x="29"/>
        <item x="25"/>
        <item x="49"/>
        <item x="43"/>
        <item x="6"/>
        <item x="32"/>
        <item x="16"/>
        <item x="28"/>
        <item x="41"/>
        <item x="4"/>
        <item x="46"/>
        <item x="11"/>
        <item x="14"/>
        <item x="42"/>
        <item t="default"/>
      </items>
    </pivotField>
    <pivotField showAll="0">
      <items count="9">
        <item x="2"/>
        <item x="7"/>
        <item x="6"/>
        <item x="1"/>
        <item x="4"/>
        <item x="0"/>
        <item x="5"/>
        <item x="3"/>
        <item t="default"/>
      </items>
    </pivotField>
    <pivotField showAll="0">
      <items count="9">
        <item x="6"/>
        <item x="4"/>
        <item x="1"/>
        <item x="2"/>
        <item x="5"/>
        <item x="0"/>
        <item x="3"/>
        <item x="7"/>
        <item t="default"/>
      </items>
    </pivotField>
    <pivotField showAll="0"/>
    <pivotField showAll="0"/>
    <pivotField showAll="0"/>
    <pivotField showAll="0"/>
    <pivotField numFmtId="1" showAll="0"/>
    <pivotField numFmtId="1" showAll="0"/>
    <pivotField numFmtId="1" showAll="0"/>
    <pivotField showAll="0"/>
    <pivotField dataField="1" numFmtId="167" showAll="0"/>
    <pivotField showAll="0">
      <items count="4">
        <item x="2"/>
        <item x="1"/>
        <item x="0"/>
        <item t="default"/>
      </items>
    </pivotField>
    <pivotField numFmtId="1" showAll="0"/>
  </pivotFields>
  <rowFields count="1">
    <field x="1"/>
  </rowFields>
  <rowItems count="12">
    <i>
      <x/>
    </i>
    <i>
      <x v="4"/>
    </i>
    <i>
      <x v="5"/>
    </i>
    <i>
      <x v="14"/>
    </i>
    <i>
      <x v="16"/>
    </i>
    <i>
      <x v="18"/>
    </i>
    <i>
      <x v="22"/>
    </i>
    <i>
      <x v="36"/>
    </i>
    <i>
      <x v="40"/>
    </i>
    <i>
      <x v="46"/>
    </i>
    <i>
      <x v="49"/>
    </i>
    <i t="grand">
      <x/>
    </i>
  </rowItems>
  <colItems count="1">
    <i/>
  </colItems>
  <dataFields count="1">
    <dataField name="Max of Risk Score" fld="12" subtotal="max" baseField="1" baseItem="0" numFmtId="1"/>
  </dataFields>
  <formats count="1">
    <format dxfId="16">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B11" firstHeaderRow="1" firstDataRow="1" firstDataCol="1"/>
  <pivotFields count="15">
    <pivotField showAll="0" defaultSubtotal="0"/>
    <pivotField showAll="0" defaultSubtotal="0"/>
    <pivotField showAll="0">
      <items count="9">
        <item x="2"/>
        <item x="7"/>
        <item x="6"/>
        <item x="1"/>
        <item x="4"/>
        <item x="0"/>
        <item x="5"/>
        <item x="3"/>
        <item t="default"/>
      </items>
    </pivotField>
    <pivotField axis="axisRow" showAll="0" defaultSubtotal="0">
      <items count="8">
        <item x="6"/>
        <item x="4"/>
        <item x="1"/>
        <item x="2"/>
        <item x="5"/>
        <item x="0"/>
        <item x="3"/>
        <item x="7"/>
      </items>
    </pivotField>
    <pivotField showAll="0" defaultSubtotal="0"/>
    <pivotField showAll="0" defaultSubtotal="0"/>
    <pivotField showAll="0"/>
    <pivotField showAll="0"/>
    <pivotField numFmtId="1" showAll="0" defaultSubtotal="0"/>
    <pivotField numFmtId="1" showAll="0"/>
    <pivotField showAll="0"/>
    <pivotField showAll="0"/>
    <pivotField dataField="1" showAll="0"/>
    <pivotField showAll="0">
      <items count="4">
        <item x="2"/>
        <item x="1"/>
        <item x="0"/>
        <item t="default"/>
      </items>
    </pivotField>
    <pivotField numFmtId="1" showAll="0" defaultSubtotal="0"/>
  </pivotFields>
  <rowFields count="1">
    <field x="3"/>
  </rowFields>
  <rowItems count="9">
    <i>
      <x/>
    </i>
    <i>
      <x v="1"/>
    </i>
    <i>
      <x v="2"/>
    </i>
    <i>
      <x v="3"/>
    </i>
    <i>
      <x v="4"/>
    </i>
    <i>
      <x v="5"/>
    </i>
    <i>
      <x v="6"/>
    </i>
    <i>
      <x v="7"/>
    </i>
    <i t="grand">
      <x/>
    </i>
  </rowItems>
  <colItems count="1">
    <i/>
  </colItems>
  <dataFields count="1">
    <dataField name="Average of Risk Score" fld="12" subtotal="average" baseField="3" baseItem="0"/>
  </dataFields>
  <formats count="6">
    <format dxfId="22">
      <pivotArea grandRow="1" outline="0" collapsedLevelsAreSubtotals="1" fieldPosition="0"/>
    </format>
    <format dxfId="21">
      <pivotArea grandRow="1" outline="0" collapsedLevelsAreSubtotals="1" fieldPosition="0"/>
    </format>
    <format dxfId="20">
      <pivotArea grandRow="1" outline="0" collapsedLevelsAreSubtotals="1" fieldPosition="0"/>
    </format>
    <format dxfId="19">
      <pivotArea collapsedLevelsAreSubtotals="1" fieldPosition="0">
        <references count="1">
          <reference field="3" count="0"/>
        </references>
      </pivotArea>
    </format>
    <format dxfId="18">
      <pivotArea collapsedLevelsAreSubtotals="1" fieldPosition="0">
        <references count="1">
          <reference field="3" count="0"/>
        </references>
      </pivotArea>
    </format>
    <format dxfId="17">
      <pivotArea collapsedLevelsAreSubtotals="1" fieldPosition="0">
        <references count="1">
          <reference field="3" count="0"/>
        </references>
      </pivotArea>
    </format>
  </formats>
  <chartFormats count="18">
    <chartFormat chart="1" format="9" series="1">
      <pivotArea type="data" outline="0" fieldPosition="0">
        <references count="1">
          <reference field="4294967294" count="1" selected="0">
            <x v="0"/>
          </reference>
        </references>
      </pivotArea>
    </chartFormat>
    <chartFormat chart="1" format="16">
      <pivotArea type="data" outline="0" fieldPosition="0">
        <references count="2">
          <reference field="4294967294" count="1" selected="0">
            <x v="0"/>
          </reference>
          <reference field="3" count="1" selected="0">
            <x v="0"/>
          </reference>
        </references>
      </pivotArea>
    </chartFormat>
    <chartFormat chart="1" format="17">
      <pivotArea type="data" outline="0" fieldPosition="0">
        <references count="2">
          <reference field="4294967294" count="1" selected="0">
            <x v="0"/>
          </reference>
          <reference field="3" count="1" selected="0">
            <x v="1"/>
          </reference>
        </references>
      </pivotArea>
    </chartFormat>
    <chartFormat chart="1" format="18">
      <pivotArea type="data" outline="0" fieldPosition="0">
        <references count="2">
          <reference field="4294967294" count="1" selected="0">
            <x v="0"/>
          </reference>
          <reference field="3" count="1" selected="0">
            <x v="2"/>
          </reference>
        </references>
      </pivotArea>
    </chartFormat>
    <chartFormat chart="1" format="19">
      <pivotArea type="data" outline="0" fieldPosition="0">
        <references count="2">
          <reference field="4294967294" count="1" selected="0">
            <x v="0"/>
          </reference>
          <reference field="3" count="1" selected="0">
            <x v="3"/>
          </reference>
        </references>
      </pivotArea>
    </chartFormat>
    <chartFormat chart="1" format="20">
      <pivotArea type="data" outline="0" fieldPosition="0">
        <references count="2">
          <reference field="4294967294" count="1" selected="0">
            <x v="0"/>
          </reference>
          <reference field="3" count="1" selected="0">
            <x v="4"/>
          </reference>
        </references>
      </pivotArea>
    </chartFormat>
    <chartFormat chart="1" format="21">
      <pivotArea type="data" outline="0" fieldPosition="0">
        <references count="2">
          <reference field="4294967294" count="1" selected="0">
            <x v="0"/>
          </reference>
          <reference field="3" count="1" selected="0">
            <x v="5"/>
          </reference>
        </references>
      </pivotArea>
    </chartFormat>
    <chartFormat chart="1" format="22">
      <pivotArea type="data" outline="0" fieldPosition="0">
        <references count="2">
          <reference field="4294967294" count="1" selected="0">
            <x v="0"/>
          </reference>
          <reference field="3" count="1" selected="0">
            <x v="6"/>
          </reference>
        </references>
      </pivotArea>
    </chartFormat>
    <chartFormat chart="1" format="23">
      <pivotArea type="data" outline="0" fieldPosition="0">
        <references count="2">
          <reference field="4294967294" count="1" selected="0">
            <x v="0"/>
          </reference>
          <reference field="3" count="1" selected="0">
            <x v="7"/>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3" count="1" selected="0">
            <x v="0"/>
          </reference>
        </references>
      </pivotArea>
    </chartFormat>
    <chartFormat chart="3" format="23">
      <pivotArea type="data" outline="0" fieldPosition="0">
        <references count="2">
          <reference field="4294967294" count="1" selected="0">
            <x v="0"/>
          </reference>
          <reference field="3" count="1" selected="0">
            <x v="1"/>
          </reference>
        </references>
      </pivotArea>
    </chartFormat>
    <chartFormat chart="3" format="24">
      <pivotArea type="data" outline="0" fieldPosition="0">
        <references count="2">
          <reference field="4294967294" count="1" selected="0">
            <x v="0"/>
          </reference>
          <reference field="3" count="1" selected="0">
            <x v="2"/>
          </reference>
        </references>
      </pivotArea>
    </chartFormat>
    <chartFormat chart="3" format="25">
      <pivotArea type="data" outline="0" fieldPosition="0">
        <references count="2">
          <reference field="4294967294" count="1" selected="0">
            <x v="0"/>
          </reference>
          <reference field="3" count="1" selected="0">
            <x v="3"/>
          </reference>
        </references>
      </pivotArea>
    </chartFormat>
    <chartFormat chart="3" format="26">
      <pivotArea type="data" outline="0" fieldPosition="0">
        <references count="2">
          <reference field="4294967294" count="1" selected="0">
            <x v="0"/>
          </reference>
          <reference field="3" count="1" selected="0">
            <x v="4"/>
          </reference>
        </references>
      </pivotArea>
    </chartFormat>
    <chartFormat chart="3" format="27">
      <pivotArea type="data" outline="0" fieldPosition="0">
        <references count="2">
          <reference field="4294967294" count="1" selected="0">
            <x v="0"/>
          </reference>
          <reference field="3" count="1" selected="0">
            <x v="5"/>
          </reference>
        </references>
      </pivotArea>
    </chartFormat>
    <chartFormat chart="3" format="28">
      <pivotArea type="data" outline="0" fieldPosition="0">
        <references count="2">
          <reference field="4294967294" count="1" selected="0">
            <x v="0"/>
          </reference>
          <reference field="3" count="1" selected="0">
            <x v="6"/>
          </reference>
        </references>
      </pivotArea>
    </chartFormat>
    <chartFormat chart="3" format="29">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3:B22" firstHeaderRow="1" firstDataRow="1" firstDataCol="1"/>
  <pivotFields count="15">
    <pivotField showAll="0" defaultSubtotal="0"/>
    <pivotField showAll="0" defaultSubtotal="0"/>
    <pivotField axis="axisRow" showAll="0">
      <items count="9">
        <item x="2"/>
        <item x="7"/>
        <item x="6"/>
        <item x="1"/>
        <item x="4"/>
        <item x="0"/>
        <item x="3"/>
        <item x="5"/>
        <item t="default"/>
      </items>
    </pivotField>
    <pivotField showAll="0" defaultSubtotal="0">
      <items count="8">
        <item x="6"/>
        <item x="4"/>
        <item x="1"/>
        <item x="2"/>
        <item x="5"/>
        <item x="0"/>
        <item x="3"/>
        <item x="7"/>
      </items>
    </pivotField>
    <pivotField showAll="0" defaultSubtotal="0"/>
    <pivotField showAll="0" defaultSubtotal="0"/>
    <pivotField showAll="0"/>
    <pivotField showAll="0"/>
    <pivotField numFmtId="1" showAll="0" defaultSubtotal="0"/>
    <pivotField numFmtId="1" showAll="0"/>
    <pivotField showAll="0"/>
    <pivotField showAll="0"/>
    <pivotField dataField="1" showAll="0"/>
    <pivotField showAll="0">
      <items count="4">
        <item x="2"/>
        <item x="1"/>
        <item x="0"/>
        <item t="default"/>
      </items>
    </pivotField>
    <pivotField numFmtId="1" showAll="0" defaultSubtotal="0"/>
  </pivotFields>
  <rowFields count="1">
    <field x="2"/>
  </rowFields>
  <rowItems count="9">
    <i>
      <x/>
    </i>
    <i>
      <x v="1"/>
    </i>
    <i>
      <x v="2"/>
    </i>
    <i>
      <x v="3"/>
    </i>
    <i>
      <x v="4"/>
    </i>
    <i>
      <x v="5"/>
    </i>
    <i>
      <x v="6"/>
    </i>
    <i>
      <x v="7"/>
    </i>
    <i t="grand">
      <x/>
    </i>
  </rowItems>
  <colItems count="1">
    <i/>
  </colItems>
  <dataFields count="1">
    <dataField name="Average of Risk Score" fld="12" subtotal="average" baseField="4" baseItem="0" numFmtId="1"/>
  </dataFields>
  <formats count="4">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s>
  <chartFormats count="10">
    <chartFormat chart="1" format="10"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2" count="1" selected="0">
            <x v="0"/>
          </reference>
        </references>
      </pivotArea>
    </chartFormat>
    <chartFormat chart="1" format="12">
      <pivotArea type="data" outline="0" fieldPosition="0">
        <references count="2">
          <reference field="4294967294" count="1" selected="0">
            <x v="0"/>
          </reference>
          <reference field="2" count="1" selected="0">
            <x v="1"/>
          </reference>
        </references>
      </pivotArea>
    </chartFormat>
    <chartFormat chart="1" format="13">
      <pivotArea type="data" outline="0" fieldPosition="0">
        <references count="2">
          <reference field="4294967294" count="1" selected="0">
            <x v="0"/>
          </reference>
          <reference field="2" count="1" selected="0">
            <x v="2"/>
          </reference>
        </references>
      </pivotArea>
    </chartFormat>
    <chartFormat chart="1" format="14">
      <pivotArea type="data" outline="0" fieldPosition="0">
        <references count="2">
          <reference field="4294967294" count="1" selected="0">
            <x v="0"/>
          </reference>
          <reference field="2" count="1" selected="0">
            <x v="3"/>
          </reference>
        </references>
      </pivotArea>
    </chartFormat>
    <chartFormat chart="1" format="15">
      <pivotArea type="data" outline="0" fieldPosition="0">
        <references count="2">
          <reference field="4294967294" count="1" selected="0">
            <x v="0"/>
          </reference>
          <reference field="2" count="1" selected="0">
            <x v="4"/>
          </reference>
        </references>
      </pivotArea>
    </chartFormat>
    <chartFormat chart="1" format="16">
      <pivotArea type="data" outline="0" fieldPosition="0">
        <references count="2">
          <reference field="4294967294" count="1" selected="0">
            <x v="0"/>
          </reference>
          <reference field="2" count="1" selected="0">
            <x v="5"/>
          </reference>
        </references>
      </pivotArea>
    </chartFormat>
    <chartFormat chart="1" format="17">
      <pivotArea type="data" outline="0" fieldPosition="0">
        <references count="2">
          <reference field="4294967294" count="1" selected="0">
            <x v="0"/>
          </reference>
          <reference field="2" count="1" selected="0">
            <x v="6"/>
          </reference>
        </references>
      </pivotArea>
    </chartFormat>
    <chartFormat chart="1" format="18">
      <pivotArea type="data" outline="0" fieldPosition="0">
        <references count="2">
          <reference field="4294967294" count="1" selected="0">
            <x v="0"/>
          </reference>
          <reference field="2" count="1" selected="0">
            <x v="7"/>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5" unboundColumnsRight="2">
    <queryTableFields count="14">
      <queryTableField id="1" name="EmpID" tableColumnId="25"/>
      <queryTableField id="2" name="Full Name" tableColumnId="26"/>
      <queryTableField id="3" name="Department" tableColumnId="27"/>
      <queryTableField id="4" name="Hire Date" tableColumnId="28"/>
      <queryTableField id="5" name="DOB" tableColumnId="29"/>
      <queryTableField id="6" name="Last Promotion Date" tableColumnId="30"/>
      <queryTableField id="7" name="Performance Rating (1-5)" tableColumnId="31"/>
      <queryTableField id="8" name="Manager ID" tableColumnId="32"/>
      <queryTableField id="9" name="Monthly Salary" tableColumnId="33"/>
      <queryTableField id="10" name="Status" tableColumnId="34"/>
      <queryTableField id="11" name="Gender" tableColumnId="35"/>
      <queryTableField id="12" name="City" tableColumnId="36"/>
      <queryTableField id="13" dataBound="0" tableColumnId="37"/>
      <queryTableField id="14"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nager_Name" sourceName="Manager Name">
  <pivotTables>
    <pivotTable tabId="7" name="PivotTable4"/>
    <pivotTable tabId="7" name="PivotTable1"/>
    <pivotTable tabId="7" name="PivotTable2"/>
    <pivotTable tabId="7" name="PivotTable3"/>
  </pivotTables>
  <data>
    <tabular pivotCacheId="1">
      <items count="8">
        <i x="6" s="1"/>
        <i x="4" s="1"/>
        <i x="1" s="1"/>
        <i x="2" s="1"/>
        <i x="5" s="1"/>
        <i x="0"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isk_Band" sourceName="Risk Band">
  <pivotTables>
    <pivotTable tabId="7" name="PivotTable4"/>
    <pivotTable tabId="7" name="PivotTable1"/>
    <pivotTable tabId="7" name="PivotTable2"/>
    <pivotTable tabId="7" name="PivotTable3"/>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7" name="PivotTable1"/>
    <pivotTable tabId="7" name="PivotTable2"/>
    <pivotTable tabId="7" name="PivotTable3"/>
    <pivotTable tabId="7" name="PivotTable4"/>
  </pivotTables>
  <data>
    <tabular pivotCacheId="1">
      <items count="8">
        <i x="2" s="1"/>
        <i x="7" s="1"/>
        <i x="6" s="1"/>
        <i x="1" s="1"/>
        <i x="4"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nager Name" cache="Slicer_Manager_Name" caption="Manager Name" style="SlicerStyleLight4" rowHeight="241300"/>
  <slicer name="Risk Band" cache="Slicer_Risk_Band" caption="Risk Band" style="SlicerStyleLight4" rowHeight="241300"/>
  <slicer name="Department" cache="Slicer_Department" caption="Department" style="SlicerStyleLigh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L54" totalsRowShown="0" headerRowDxfId="57" dataDxfId="55" headerRowBorderDxfId="56" tableBorderDxfId="54" totalsRowBorderDxfId="53">
  <autoFilter ref="A1:L54"/>
  <tableColumns count="12">
    <tableColumn id="1" name="EmpID" dataDxfId="52"/>
    <tableColumn id="2" name="Full Name" dataDxfId="51"/>
    <tableColumn id="3" name="Department" dataDxfId="50"/>
    <tableColumn id="4" name="Hire Date" dataDxfId="49"/>
    <tableColumn id="5" name="Date of Birth" dataDxfId="48"/>
    <tableColumn id="6" name="Last Promotion Date" dataDxfId="47"/>
    <tableColumn id="7" name="Performance Rating (1-5)" dataDxfId="46"/>
    <tableColumn id="8" name="Manager ID" dataDxfId="45"/>
    <tableColumn id="9" name="Monthly Salary" dataDxfId="44"/>
    <tableColumn id="10" name="Status" dataDxfId="43"/>
    <tableColumn id="11" name="Gender" dataDxfId="42"/>
    <tableColumn id="12" name="City" dataDxfId="41"/>
  </tableColumns>
  <tableStyleInfo showFirstColumn="0" showLastColumn="0" showRowStripes="1" showColumnStripes="0"/>
</table>
</file>

<file path=xl/tables/table2.xml><?xml version="1.0" encoding="utf-8"?>
<table xmlns="http://schemas.openxmlformats.org/spreadsheetml/2006/main" id="2" name="Clean_Data" displayName="Clean_Data" ref="A1:N51" tableType="queryTable" totalsRowShown="0">
  <autoFilter ref="A1:N51"/>
  <tableColumns count="14">
    <tableColumn id="25" uniqueName="25" name="EmpID" queryTableFieldId="1" dataDxfId="40"/>
    <tableColumn id="26" uniqueName="26" name="Full Name" queryTableFieldId="2" dataDxfId="39"/>
    <tableColumn id="27" uniqueName="27" name="Department" queryTableFieldId="3" dataDxfId="38"/>
    <tableColumn id="28" uniqueName="28" name="Hire Date" queryTableFieldId="4" dataDxfId="37"/>
    <tableColumn id="29" uniqueName="29" name="DOB" queryTableFieldId="5" dataDxfId="36"/>
    <tableColumn id="30" uniqueName="30" name="Last Promotion Date" queryTableFieldId="6" dataDxfId="35"/>
    <tableColumn id="31" uniqueName="31" name="Performance Rating (1-5)" queryTableFieldId="7" dataDxfId="34"/>
    <tableColumn id="32" uniqueName="32" name="Manager ID" queryTableFieldId="8" dataDxfId="33"/>
    <tableColumn id="33" uniqueName="33" name="Monthly Salary" queryTableFieldId="9" dataDxfId="32"/>
    <tableColumn id="34" uniqueName="34" name="Status" queryTableFieldId="10" dataDxfId="31"/>
    <tableColumn id="35" uniqueName="35" name="Gender" queryTableFieldId="11" dataDxfId="30"/>
    <tableColumn id="36" uniqueName="36" name="City" queryTableFieldId="12" dataDxfId="29"/>
    <tableColumn id="37" uniqueName="37" name="Manager Name" queryTableFieldId="13" dataDxfId="28">
      <calculatedColumnFormula>_xlfn.XLOOKUP(Clean_Data[[#This Row],[Manager ID]],Lookup_Tables!$A$3:$A$10,Lookup_Tables!$B$3:$B$10)</calculatedColumnFormula>
    </tableColumn>
    <tableColumn id="1" uniqueName="1" name="Dept Formula" queryTableFieldId="14" dataDxfId="27">
      <calculatedColumnFormula>_xlfn.XLOOKUP(Clean_Data[[#This Row],[Department]],Lookup_Tables!$D$3:$D$10,Lookup_Tables!$E$3:$E$10)</calculatedColumnFormula>
    </tableColumn>
  </tableColumns>
  <tableStyleInfo name="TableStyleLight18" showFirstColumn="0" showLastColumn="0" showRowStripes="1" showColumnStripes="0"/>
</table>
</file>

<file path=xl/tables/table3.xml><?xml version="1.0" encoding="utf-8"?>
<table xmlns="http://schemas.openxmlformats.org/spreadsheetml/2006/main" id="3" name="Risk_Score" displayName="Risk_Score" ref="A7:O57" totalsRowShown="0" headerRowDxfId="15">
  <autoFilter ref="A7:O57"/>
  <tableColumns count="15">
    <tableColumn id="1" name="Emp ID" dataDxfId="14">
      <calculatedColumnFormula>Clean_Data!A2</calculatedColumnFormula>
    </tableColumn>
    <tableColumn id="2" name="Name" dataDxfId="13">
      <calculatedColumnFormula>Clean_Data!B2</calculatedColumnFormula>
    </tableColumn>
    <tableColumn id="3" name="Department" dataDxfId="12">
      <calculatedColumnFormula>Clean_Data!C2</calculatedColumnFormula>
    </tableColumn>
    <tableColumn id="4" name="Manager Name" dataDxfId="11">
      <calculatedColumnFormula>Clean_Data!M2</calculatedColumnFormula>
    </tableColumn>
    <tableColumn id="5" name="Tenure Yrs" dataDxfId="10">
      <calculatedColumnFormula>DATEDIF(INDEX(Clean_Data[Hire Date],MATCH(Risk_Score!B8,Clean_Data[Full Name],0)),TODAY(),"Y")</calculatedColumnFormula>
    </tableColumn>
    <tableColumn id="6" name="Age" dataDxfId="9">
      <calculatedColumnFormula>DATEDIF(Clean_Data!E2, TODAY(), "Y")</calculatedColumnFormula>
    </tableColumn>
    <tableColumn id="7" name="Age Band" dataDxfId="8">
      <calculatedColumnFormula>IF(F8 &lt; 30, "Under 30", IF(F8&lt; 40, "30-39", IF(F8&lt; 50, "40-49", "50+") ) )</calculatedColumnFormula>
    </tableColumn>
    <tableColumn id="8" name="Promo Gap Yrs" dataDxfId="7">
      <calculatedColumnFormula>DATEDIF(Clean_Data!F2,TODAY(), "Y")</calculatedColumnFormula>
    </tableColumn>
    <tableColumn id="9" name="Perf Rating" dataDxfId="6">
      <calculatedColumnFormula>Clean_Data!G2</calculatedColumnFormula>
    </tableColumn>
    <tableColumn id="10" name="Tenure Score" dataDxfId="5">
      <calculatedColumnFormula>MAX(0,(MIN(100,(15-E8)/15*100)))</calculatedColumnFormula>
    </tableColumn>
    <tableColumn id="11" name="Promo Gap Score" dataDxfId="4">
      <calculatedColumnFormula>MIN(100, H8/5*100)</calculatedColumnFormula>
    </tableColumn>
    <tableColumn id="12" name="Perf Score" dataDxfId="3">
      <calculatedColumnFormula>(5-I8)/4*100</calculatedColumnFormula>
    </tableColumn>
    <tableColumn id="13" name="Risk Score" dataDxfId="2">
      <calculatedColumnFormula>ROUND($B$2 *J8 + $B$3 *K8 + $B$4 *L8, 1)</calculatedColumnFormula>
    </tableColumn>
    <tableColumn id="14" name="Risk Band" dataDxfId="1">
      <calculatedColumnFormula>IF(M8 &gt;=70, "High Risk",  IF(M8 &gt;= 45, "Medium Risk", "Low Risk"))</calculatedColumnFormula>
    </tableColumn>
    <tableColumn id="15" name="Rank " dataDxfId="0">
      <calculatedColumnFormula>RANK(M8, $M$8:$M$57, 0) + COUNTIF($M$8:M8, M8) - 1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L54"/>
  <sheetViews>
    <sheetView workbookViewId="0">
      <pane ySplit="1" topLeftCell="A35" activePane="bottomLeft" state="frozen"/>
      <selection pane="bottomLeft" activeCell="B45" sqref="B45"/>
    </sheetView>
  </sheetViews>
  <sheetFormatPr defaultRowHeight="14.5" x14ac:dyDescent="0.35"/>
  <cols>
    <col min="1" max="1" width="12" customWidth="1"/>
    <col min="2" max="2" width="22" customWidth="1"/>
    <col min="3" max="3" width="14" customWidth="1"/>
    <col min="4" max="5" width="16" customWidth="1"/>
    <col min="6" max="6" width="21.81640625" customWidth="1"/>
    <col min="7" max="7" width="25.81640625" customWidth="1"/>
    <col min="8" max="8" width="13.1796875" customWidth="1"/>
    <col min="9" max="9" width="16.26953125" customWidth="1"/>
    <col min="10" max="10" width="8.81640625" customWidth="1"/>
    <col min="11" max="11" width="9.54296875" customWidth="1"/>
    <col min="12" max="12" width="9.54296875" bestFit="1" customWidth="1"/>
  </cols>
  <sheetData>
    <row r="1" spans="1:12" s="19" customFormat="1" ht="18" customHeight="1" x14ac:dyDescent="0.35">
      <c r="A1" s="32" t="s">
        <v>0</v>
      </c>
      <c r="B1" s="33" t="s">
        <v>1</v>
      </c>
      <c r="C1" s="33" t="s">
        <v>2</v>
      </c>
      <c r="D1" s="33" t="s">
        <v>3</v>
      </c>
      <c r="E1" s="33" t="s">
        <v>4</v>
      </c>
      <c r="F1" s="33" t="s">
        <v>5</v>
      </c>
      <c r="G1" s="33" t="s">
        <v>6</v>
      </c>
      <c r="H1" s="33" t="s">
        <v>7</v>
      </c>
      <c r="I1" s="33" t="s">
        <v>8</v>
      </c>
      <c r="J1" s="33" t="s">
        <v>9</v>
      </c>
      <c r="K1" s="33" t="s">
        <v>10</v>
      </c>
      <c r="L1" s="34" t="s">
        <v>11</v>
      </c>
    </row>
    <row r="2" spans="1:12" x14ac:dyDescent="0.35">
      <c r="A2" s="9" t="s">
        <v>12</v>
      </c>
      <c r="B2" s="1" t="s">
        <v>13</v>
      </c>
      <c r="C2" s="1" t="s">
        <v>14</v>
      </c>
      <c r="D2" s="1" t="s">
        <v>15</v>
      </c>
      <c r="E2" s="1" t="s">
        <v>16</v>
      </c>
      <c r="F2" s="1" t="s">
        <v>17</v>
      </c>
      <c r="G2" s="1">
        <v>3</v>
      </c>
      <c r="H2" s="1" t="s">
        <v>18</v>
      </c>
      <c r="I2" s="1">
        <v>46000</v>
      </c>
      <c r="J2" s="1" t="s">
        <v>19</v>
      </c>
      <c r="K2" s="1" t="s">
        <v>20</v>
      </c>
      <c r="L2" s="11" t="s">
        <v>21</v>
      </c>
    </row>
    <row r="3" spans="1:12" x14ac:dyDescent="0.35">
      <c r="A3" s="10" t="s">
        <v>22</v>
      </c>
      <c r="B3" s="2" t="s">
        <v>23</v>
      </c>
      <c r="C3" s="2" t="s">
        <v>24</v>
      </c>
      <c r="D3" s="2" t="s">
        <v>25</v>
      </c>
      <c r="E3" s="2" t="s">
        <v>26</v>
      </c>
      <c r="F3" s="2" t="s">
        <v>27</v>
      </c>
      <c r="G3" s="2">
        <v>3</v>
      </c>
      <c r="H3" s="2" t="s">
        <v>28</v>
      </c>
      <c r="I3" s="2">
        <v>112000</v>
      </c>
      <c r="J3" s="2" t="s">
        <v>29</v>
      </c>
      <c r="K3" s="2" t="s">
        <v>30</v>
      </c>
      <c r="L3" s="12" t="s">
        <v>31</v>
      </c>
    </row>
    <row r="4" spans="1:12" x14ac:dyDescent="0.35">
      <c r="A4" s="9" t="s">
        <v>32</v>
      </c>
      <c r="B4" s="1" t="s">
        <v>33</v>
      </c>
      <c r="C4" s="1" t="s">
        <v>34</v>
      </c>
      <c r="D4" s="1" t="s">
        <v>35</v>
      </c>
      <c r="E4" s="1" t="s">
        <v>36</v>
      </c>
      <c r="F4" s="1" t="s">
        <v>37</v>
      </c>
      <c r="G4" s="1">
        <v>3</v>
      </c>
      <c r="H4" s="1" t="s">
        <v>28</v>
      </c>
      <c r="I4" s="1">
        <v>55000</v>
      </c>
      <c r="J4" s="1" t="s">
        <v>38</v>
      </c>
      <c r="K4" s="1" t="s">
        <v>30</v>
      </c>
      <c r="L4" s="11" t="s">
        <v>39</v>
      </c>
    </row>
    <row r="5" spans="1:12" x14ac:dyDescent="0.35">
      <c r="A5" s="10" t="s">
        <v>40</v>
      </c>
      <c r="B5" s="2" t="s">
        <v>41</v>
      </c>
      <c r="C5" s="2" t="s">
        <v>42</v>
      </c>
      <c r="D5" s="2" t="s">
        <v>43</v>
      </c>
      <c r="E5" s="2" t="s">
        <v>44</v>
      </c>
      <c r="F5" s="2" t="s">
        <v>45</v>
      </c>
      <c r="G5" s="2">
        <v>5</v>
      </c>
      <c r="H5" s="2" t="s">
        <v>28</v>
      </c>
      <c r="I5" s="2">
        <v>62000</v>
      </c>
      <c r="J5" s="2" t="s">
        <v>19</v>
      </c>
      <c r="K5" s="2" t="s">
        <v>30</v>
      </c>
      <c r="L5" s="12" t="s">
        <v>46</v>
      </c>
    </row>
    <row r="6" spans="1:12" x14ac:dyDescent="0.35">
      <c r="A6" s="9" t="s">
        <v>47</v>
      </c>
      <c r="B6" s="1" t="s">
        <v>48</v>
      </c>
      <c r="C6" s="1" t="s">
        <v>49</v>
      </c>
      <c r="D6" s="1" t="s">
        <v>50</v>
      </c>
      <c r="E6" s="1" t="s">
        <v>51</v>
      </c>
      <c r="F6" s="1" t="s">
        <v>52</v>
      </c>
      <c r="G6" s="1">
        <v>4</v>
      </c>
      <c r="H6" s="1" t="s">
        <v>53</v>
      </c>
      <c r="I6" s="1">
        <v>83000</v>
      </c>
      <c r="J6" s="1" t="s">
        <v>38</v>
      </c>
      <c r="K6" s="1" t="s">
        <v>54</v>
      </c>
      <c r="L6" s="11" t="s">
        <v>55</v>
      </c>
    </row>
    <row r="7" spans="1:12" x14ac:dyDescent="0.35">
      <c r="A7" s="10" t="s">
        <v>56</v>
      </c>
      <c r="B7" s="2" t="s">
        <v>57</v>
      </c>
      <c r="C7" s="2" t="s">
        <v>49</v>
      </c>
      <c r="D7" s="2" t="s">
        <v>58</v>
      </c>
      <c r="E7" s="2" t="s">
        <v>59</v>
      </c>
      <c r="F7" s="2" t="s">
        <v>60</v>
      </c>
      <c r="G7" s="2">
        <v>5</v>
      </c>
      <c r="H7" s="2" t="s">
        <v>61</v>
      </c>
      <c r="I7" s="2">
        <v>142000</v>
      </c>
      <c r="J7" s="2" t="s">
        <v>29</v>
      </c>
      <c r="K7" s="2" t="s">
        <v>62</v>
      </c>
      <c r="L7" s="12" t="s">
        <v>21</v>
      </c>
    </row>
    <row r="8" spans="1:12" x14ac:dyDescent="0.35">
      <c r="A8" s="9" t="s">
        <v>63</v>
      </c>
      <c r="B8" s="1" t="s">
        <v>64</v>
      </c>
      <c r="C8" s="1" t="s">
        <v>42</v>
      </c>
      <c r="D8" s="1" t="s">
        <v>65</v>
      </c>
      <c r="E8" s="1" t="s">
        <v>66</v>
      </c>
      <c r="F8" s="1" t="s">
        <v>67</v>
      </c>
      <c r="G8" s="1">
        <v>2</v>
      </c>
      <c r="H8" s="1" t="s">
        <v>68</v>
      </c>
      <c r="I8" s="1">
        <v>105000</v>
      </c>
      <c r="J8" s="1" t="s">
        <v>29</v>
      </c>
      <c r="K8" s="1" t="s">
        <v>62</v>
      </c>
      <c r="L8" s="11" t="s">
        <v>39</v>
      </c>
    </row>
    <row r="9" spans="1:12" x14ac:dyDescent="0.35">
      <c r="A9" s="10" t="s">
        <v>69</v>
      </c>
      <c r="B9" s="2" t="s">
        <v>70</v>
      </c>
      <c r="C9" s="2" t="s">
        <v>49</v>
      </c>
      <c r="D9" s="2" t="s">
        <v>71</v>
      </c>
      <c r="E9" s="2" t="s">
        <v>72</v>
      </c>
      <c r="F9" s="2" t="s">
        <v>73</v>
      </c>
      <c r="G9" s="2">
        <v>4</v>
      </c>
      <c r="H9" s="2" t="s">
        <v>18</v>
      </c>
      <c r="I9" s="2" t="s">
        <v>74</v>
      </c>
      <c r="J9" s="2" t="s">
        <v>38</v>
      </c>
      <c r="K9" s="2" t="s">
        <v>20</v>
      </c>
      <c r="L9" s="12" t="s">
        <v>21</v>
      </c>
    </row>
    <row r="10" spans="1:12" x14ac:dyDescent="0.35">
      <c r="A10" s="9" t="s">
        <v>75</v>
      </c>
      <c r="B10" s="1" t="s">
        <v>76</v>
      </c>
      <c r="C10" s="1" t="s">
        <v>24</v>
      </c>
      <c r="D10" s="1" t="s">
        <v>77</v>
      </c>
      <c r="E10" s="1" t="s">
        <v>78</v>
      </c>
      <c r="F10" s="1" t="s">
        <v>79</v>
      </c>
      <c r="G10" s="1">
        <v>5</v>
      </c>
      <c r="H10" s="1" t="s">
        <v>18</v>
      </c>
      <c r="I10" s="1">
        <v>121000</v>
      </c>
      <c r="J10" s="1" t="s">
        <v>38</v>
      </c>
      <c r="K10" s="1" t="s">
        <v>20</v>
      </c>
      <c r="L10" s="11" t="s">
        <v>80</v>
      </c>
    </row>
    <row r="11" spans="1:12" x14ac:dyDescent="0.35">
      <c r="A11" s="10" t="s">
        <v>81</v>
      </c>
      <c r="B11" s="2" t="s">
        <v>82</v>
      </c>
      <c r="C11" s="2" t="s">
        <v>34</v>
      </c>
      <c r="D11" s="2" t="s">
        <v>83</v>
      </c>
      <c r="E11" s="2" t="s">
        <v>84</v>
      </c>
      <c r="F11" s="2" t="s">
        <v>85</v>
      </c>
      <c r="G11" s="2">
        <v>3</v>
      </c>
      <c r="H11" s="2" t="s">
        <v>86</v>
      </c>
      <c r="I11" s="2">
        <v>145000</v>
      </c>
      <c r="J11" s="2" t="s">
        <v>38</v>
      </c>
      <c r="K11" s="2" t="s">
        <v>54</v>
      </c>
      <c r="L11" s="12" t="s">
        <v>80</v>
      </c>
    </row>
    <row r="12" spans="1:12" x14ac:dyDescent="0.35">
      <c r="A12" s="9" t="s">
        <v>87</v>
      </c>
      <c r="B12" s="1" t="s">
        <v>88</v>
      </c>
      <c r="C12" s="1" t="s">
        <v>14</v>
      </c>
      <c r="D12" s="1" t="s">
        <v>89</v>
      </c>
      <c r="E12" s="1" t="s">
        <v>90</v>
      </c>
      <c r="F12" s="1" t="s">
        <v>91</v>
      </c>
      <c r="G12" s="1">
        <v>4</v>
      </c>
      <c r="H12" s="1" t="s">
        <v>92</v>
      </c>
      <c r="I12" s="1" t="s">
        <v>93</v>
      </c>
      <c r="J12" s="1" t="s">
        <v>29</v>
      </c>
      <c r="K12" s="1" t="s">
        <v>20</v>
      </c>
      <c r="L12" s="11" t="s">
        <v>31</v>
      </c>
    </row>
    <row r="13" spans="1:12" x14ac:dyDescent="0.35">
      <c r="A13" s="10" t="s">
        <v>94</v>
      </c>
      <c r="B13" s="2" t="s">
        <v>95</v>
      </c>
      <c r="C13" s="2" t="s">
        <v>24</v>
      </c>
      <c r="D13" s="2" t="s">
        <v>96</v>
      </c>
      <c r="E13" s="2" t="s">
        <v>97</v>
      </c>
      <c r="F13" s="2" t="s">
        <v>98</v>
      </c>
      <c r="G13" s="2">
        <v>3</v>
      </c>
      <c r="H13" s="2" t="s">
        <v>61</v>
      </c>
      <c r="I13" s="2">
        <v>85000</v>
      </c>
      <c r="J13" s="2" t="s">
        <v>29</v>
      </c>
      <c r="K13" s="2" t="s">
        <v>20</v>
      </c>
      <c r="L13" s="12" t="s">
        <v>99</v>
      </c>
    </row>
    <row r="14" spans="1:12" x14ac:dyDescent="0.35">
      <c r="A14" s="9" t="s">
        <v>100</v>
      </c>
      <c r="B14" s="1" t="s">
        <v>101</v>
      </c>
      <c r="C14" s="1" t="s">
        <v>14</v>
      </c>
      <c r="D14" s="1" t="s">
        <v>102</v>
      </c>
      <c r="E14" s="1" t="s">
        <v>103</v>
      </c>
      <c r="F14" s="1" t="s">
        <v>104</v>
      </c>
      <c r="G14" s="1">
        <v>4</v>
      </c>
      <c r="H14" s="1" t="s">
        <v>61</v>
      </c>
      <c r="I14" s="1">
        <v>113000</v>
      </c>
      <c r="J14" s="1" t="s">
        <v>38</v>
      </c>
      <c r="K14" s="1" t="s">
        <v>20</v>
      </c>
      <c r="L14" s="11" t="s">
        <v>99</v>
      </c>
    </row>
    <row r="15" spans="1:12" x14ac:dyDescent="0.35">
      <c r="A15" s="10" t="s">
        <v>105</v>
      </c>
      <c r="B15" s="2" t="s">
        <v>106</v>
      </c>
      <c r="C15" s="2"/>
      <c r="D15" s="2" t="s">
        <v>107</v>
      </c>
      <c r="E15" s="2" t="s">
        <v>108</v>
      </c>
      <c r="F15" s="2" t="s">
        <v>109</v>
      </c>
      <c r="G15" s="2">
        <v>4</v>
      </c>
      <c r="H15" s="2" t="s">
        <v>61</v>
      </c>
      <c r="I15" s="2">
        <v>40000</v>
      </c>
      <c r="J15" s="2" t="s">
        <v>38</v>
      </c>
      <c r="K15" s="2" t="s">
        <v>20</v>
      </c>
      <c r="L15" s="12" t="s">
        <v>39</v>
      </c>
    </row>
    <row r="16" spans="1:12" x14ac:dyDescent="0.35">
      <c r="A16" s="9" t="s">
        <v>110</v>
      </c>
      <c r="B16" s="1" t="s">
        <v>111</v>
      </c>
      <c r="C16" s="1" t="s">
        <v>112</v>
      </c>
      <c r="D16" s="1" t="s">
        <v>113</v>
      </c>
      <c r="E16" s="1" t="s">
        <v>114</v>
      </c>
      <c r="F16" s="1" t="s">
        <v>115</v>
      </c>
      <c r="G16" s="1">
        <v>5</v>
      </c>
      <c r="H16" s="1" t="s">
        <v>18</v>
      </c>
      <c r="I16" s="1">
        <v>150000</v>
      </c>
      <c r="J16" s="1" t="s">
        <v>29</v>
      </c>
      <c r="K16" s="1" t="s">
        <v>30</v>
      </c>
      <c r="L16" s="11" t="s">
        <v>21</v>
      </c>
    </row>
    <row r="17" spans="1:12" x14ac:dyDescent="0.35">
      <c r="A17" s="10" t="s">
        <v>116</v>
      </c>
      <c r="B17" s="2" t="s">
        <v>117</v>
      </c>
      <c r="C17" s="2" t="s">
        <v>42</v>
      </c>
      <c r="D17" s="2" t="s">
        <v>118</v>
      </c>
      <c r="E17" s="2" t="s">
        <v>119</v>
      </c>
      <c r="F17" s="2" t="s">
        <v>120</v>
      </c>
      <c r="G17" s="2"/>
      <c r="H17" s="2" t="s">
        <v>121</v>
      </c>
      <c r="I17" s="2">
        <v>83000</v>
      </c>
      <c r="J17" s="2" t="s">
        <v>38</v>
      </c>
      <c r="K17" s="2" t="s">
        <v>20</v>
      </c>
      <c r="L17" s="12" t="s">
        <v>31</v>
      </c>
    </row>
    <row r="18" spans="1:12" x14ac:dyDescent="0.35">
      <c r="A18" s="9" t="s">
        <v>122</v>
      </c>
      <c r="B18" s="1" t="s">
        <v>123</v>
      </c>
      <c r="C18" s="1" t="s">
        <v>14</v>
      </c>
      <c r="D18" s="1" t="s">
        <v>124</v>
      </c>
      <c r="E18" s="1" t="s">
        <v>125</v>
      </c>
      <c r="F18" s="1" t="s">
        <v>126</v>
      </c>
      <c r="G18" s="1">
        <v>2</v>
      </c>
      <c r="H18" s="1" t="s">
        <v>61</v>
      </c>
      <c r="I18" s="1">
        <v>57000</v>
      </c>
      <c r="J18" s="1" t="s">
        <v>19</v>
      </c>
      <c r="K18" s="1" t="s">
        <v>30</v>
      </c>
      <c r="L18" s="11" t="s">
        <v>80</v>
      </c>
    </row>
    <row r="19" spans="1:12" x14ac:dyDescent="0.35">
      <c r="A19" s="10" t="s">
        <v>127</v>
      </c>
      <c r="B19" s="2" t="s">
        <v>128</v>
      </c>
      <c r="C19" s="2" t="s">
        <v>24</v>
      </c>
      <c r="D19" s="2" t="s">
        <v>129</v>
      </c>
      <c r="E19" s="2" t="s">
        <v>130</v>
      </c>
      <c r="F19" s="2" t="s">
        <v>131</v>
      </c>
      <c r="G19" s="2">
        <v>2</v>
      </c>
      <c r="H19" s="2" t="s">
        <v>28</v>
      </c>
      <c r="I19" s="2">
        <v>114000</v>
      </c>
      <c r="J19" s="2" t="s">
        <v>38</v>
      </c>
      <c r="K19" s="2" t="s">
        <v>30</v>
      </c>
      <c r="L19" s="12" t="s">
        <v>99</v>
      </c>
    </row>
    <row r="20" spans="1:12" x14ac:dyDescent="0.35">
      <c r="A20" s="9" t="s">
        <v>132</v>
      </c>
      <c r="B20" s="1" t="s">
        <v>133</v>
      </c>
      <c r="C20" s="1" t="s">
        <v>134</v>
      </c>
      <c r="D20" s="1" t="s">
        <v>135</v>
      </c>
      <c r="E20" s="1" t="s">
        <v>136</v>
      </c>
      <c r="F20" s="1" t="s">
        <v>137</v>
      </c>
      <c r="G20" s="1">
        <v>3</v>
      </c>
      <c r="H20" s="1" t="s">
        <v>28</v>
      </c>
      <c r="I20" s="1">
        <v>94000</v>
      </c>
      <c r="J20" s="1" t="s">
        <v>29</v>
      </c>
      <c r="K20" s="1" t="s">
        <v>30</v>
      </c>
      <c r="L20" s="11" t="s">
        <v>46</v>
      </c>
    </row>
    <row r="21" spans="1:12" x14ac:dyDescent="0.35">
      <c r="A21" s="10" t="s">
        <v>138</v>
      </c>
      <c r="B21" s="2" t="s">
        <v>139</v>
      </c>
      <c r="C21" s="2"/>
      <c r="D21" s="2" t="s">
        <v>140</v>
      </c>
      <c r="E21" s="2" t="s">
        <v>141</v>
      </c>
      <c r="F21" s="2" t="s">
        <v>142</v>
      </c>
      <c r="G21" s="2">
        <v>4</v>
      </c>
      <c r="H21" s="2" t="s">
        <v>121</v>
      </c>
      <c r="I21" s="2">
        <v>93000</v>
      </c>
      <c r="J21" s="2" t="s">
        <v>38</v>
      </c>
      <c r="K21" s="2" t="s">
        <v>30</v>
      </c>
      <c r="L21" s="12" t="s">
        <v>99</v>
      </c>
    </row>
    <row r="22" spans="1:12" x14ac:dyDescent="0.35">
      <c r="A22" s="9" t="s">
        <v>143</v>
      </c>
      <c r="B22" s="1" t="s">
        <v>144</v>
      </c>
      <c r="C22" s="1" t="s">
        <v>145</v>
      </c>
      <c r="D22" s="1" t="s">
        <v>146</v>
      </c>
      <c r="E22" s="1" t="s">
        <v>147</v>
      </c>
      <c r="F22" s="1" t="s">
        <v>148</v>
      </c>
      <c r="G22" s="1">
        <v>2</v>
      </c>
      <c r="H22" s="1" t="s">
        <v>68</v>
      </c>
      <c r="I22" s="1">
        <v>120000</v>
      </c>
      <c r="J22" s="1" t="s">
        <v>29</v>
      </c>
      <c r="K22" s="1" t="s">
        <v>30</v>
      </c>
      <c r="L22" s="11" t="s">
        <v>31</v>
      </c>
    </row>
    <row r="23" spans="1:12" x14ac:dyDescent="0.35">
      <c r="A23" s="10" t="s">
        <v>149</v>
      </c>
      <c r="B23" s="2" t="s">
        <v>150</v>
      </c>
      <c r="C23" s="2" t="s">
        <v>49</v>
      </c>
      <c r="D23" s="2" t="s">
        <v>151</v>
      </c>
      <c r="E23" s="2" t="s">
        <v>152</v>
      </c>
      <c r="F23" s="2" t="s">
        <v>153</v>
      </c>
      <c r="G23" s="2">
        <v>3</v>
      </c>
      <c r="H23" s="2" t="s">
        <v>121</v>
      </c>
      <c r="I23" s="2" t="s">
        <v>154</v>
      </c>
      <c r="J23" s="2" t="s">
        <v>38</v>
      </c>
      <c r="K23" s="2" t="s">
        <v>20</v>
      </c>
      <c r="L23" s="12" t="s">
        <v>21</v>
      </c>
    </row>
    <row r="24" spans="1:12" x14ac:dyDescent="0.35">
      <c r="A24" s="9" t="s">
        <v>155</v>
      </c>
      <c r="B24" s="1" t="s">
        <v>156</v>
      </c>
      <c r="C24" s="1" t="s">
        <v>24</v>
      </c>
      <c r="D24" s="1" t="s">
        <v>157</v>
      </c>
      <c r="E24" s="1" t="s">
        <v>158</v>
      </c>
      <c r="F24" s="1" t="s">
        <v>159</v>
      </c>
      <c r="G24" s="1">
        <v>4</v>
      </c>
      <c r="H24" s="1" t="s">
        <v>86</v>
      </c>
      <c r="I24" s="1">
        <v>97000</v>
      </c>
      <c r="J24" s="1" t="s">
        <v>19</v>
      </c>
      <c r="K24" s="1" t="s">
        <v>62</v>
      </c>
      <c r="L24" s="11" t="s">
        <v>39</v>
      </c>
    </row>
    <row r="25" spans="1:12" x14ac:dyDescent="0.35">
      <c r="A25" s="10" t="s">
        <v>160</v>
      </c>
      <c r="B25" s="2" t="s">
        <v>161</v>
      </c>
      <c r="C25" s="2" t="s">
        <v>42</v>
      </c>
      <c r="D25" s="2" t="s">
        <v>162</v>
      </c>
      <c r="E25" s="2" t="s">
        <v>163</v>
      </c>
      <c r="F25" s="2" t="s">
        <v>164</v>
      </c>
      <c r="G25" s="2">
        <v>3</v>
      </c>
      <c r="H25" s="2" t="s">
        <v>68</v>
      </c>
      <c r="I25" s="2">
        <v>76000</v>
      </c>
      <c r="J25" s="2" t="s">
        <v>38</v>
      </c>
      <c r="K25" s="2" t="s">
        <v>30</v>
      </c>
      <c r="L25" s="12" t="s">
        <v>31</v>
      </c>
    </row>
    <row r="26" spans="1:12" x14ac:dyDescent="0.35">
      <c r="A26" s="9" t="s">
        <v>165</v>
      </c>
      <c r="B26" s="1" t="s">
        <v>166</v>
      </c>
      <c r="C26" s="1" t="s">
        <v>42</v>
      </c>
      <c r="D26" s="1" t="s">
        <v>167</v>
      </c>
      <c r="E26" s="1" t="s">
        <v>168</v>
      </c>
      <c r="F26" s="1" t="s">
        <v>169</v>
      </c>
      <c r="G26" s="1">
        <v>3</v>
      </c>
      <c r="H26" s="1" t="s">
        <v>121</v>
      </c>
      <c r="I26" s="1">
        <v>107000</v>
      </c>
      <c r="J26" s="1" t="s">
        <v>29</v>
      </c>
      <c r="K26" s="1" t="s">
        <v>20</v>
      </c>
      <c r="L26" s="11" t="s">
        <v>46</v>
      </c>
    </row>
    <row r="27" spans="1:12" x14ac:dyDescent="0.35">
      <c r="A27" s="10" t="s">
        <v>170</v>
      </c>
      <c r="B27" s="2" t="s">
        <v>171</v>
      </c>
      <c r="C27" s="2" t="s">
        <v>24</v>
      </c>
      <c r="D27" s="2" t="s">
        <v>172</v>
      </c>
      <c r="E27" s="2" t="s">
        <v>173</v>
      </c>
      <c r="F27" s="2" t="s">
        <v>174</v>
      </c>
      <c r="G27" s="2">
        <v>4</v>
      </c>
      <c r="H27" s="2" t="s">
        <v>121</v>
      </c>
      <c r="I27" s="2" t="s">
        <v>175</v>
      </c>
      <c r="J27" s="2" t="s">
        <v>19</v>
      </c>
      <c r="K27" s="2" t="s">
        <v>20</v>
      </c>
      <c r="L27" s="12" t="s">
        <v>39</v>
      </c>
    </row>
    <row r="28" spans="1:12" x14ac:dyDescent="0.35">
      <c r="A28" s="9" t="s">
        <v>176</v>
      </c>
      <c r="B28" s="1" t="s">
        <v>177</v>
      </c>
      <c r="C28" s="1" t="s">
        <v>134</v>
      </c>
      <c r="D28" s="1" t="s">
        <v>178</v>
      </c>
      <c r="E28" s="1" t="s">
        <v>179</v>
      </c>
      <c r="F28" s="1" t="s">
        <v>180</v>
      </c>
      <c r="G28" s="1"/>
      <c r="H28" s="1" t="s">
        <v>53</v>
      </c>
      <c r="I28" s="1">
        <v>140000</v>
      </c>
      <c r="J28" s="1" t="s">
        <v>38</v>
      </c>
      <c r="K28" s="1" t="s">
        <v>30</v>
      </c>
      <c r="L28" s="11" t="s">
        <v>39</v>
      </c>
    </row>
    <row r="29" spans="1:12" x14ac:dyDescent="0.35">
      <c r="A29" s="10" t="s">
        <v>181</v>
      </c>
      <c r="B29" s="2" t="s">
        <v>182</v>
      </c>
      <c r="C29" s="2" t="s">
        <v>145</v>
      </c>
      <c r="D29" s="2" t="s">
        <v>183</v>
      </c>
      <c r="E29" s="2" t="s">
        <v>184</v>
      </c>
      <c r="F29" s="2" t="s">
        <v>185</v>
      </c>
      <c r="G29" s="2">
        <v>4</v>
      </c>
      <c r="H29" s="2" t="s">
        <v>86</v>
      </c>
      <c r="I29" s="2">
        <v>45000</v>
      </c>
      <c r="J29" s="2" t="s">
        <v>19</v>
      </c>
      <c r="K29" s="2" t="s">
        <v>20</v>
      </c>
      <c r="L29" s="12" t="s">
        <v>99</v>
      </c>
    </row>
    <row r="30" spans="1:12" x14ac:dyDescent="0.35">
      <c r="A30" s="9" t="s">
        <v>186</v>
      </c>
      <c r="B30" s="1" t="s">
        <v>187</v>
      </c>
      <c r="C30" s="1" t="s">
        <v>145</v>
      </c>
      <c r="D30" s="1" t="s">
        <v>188</v>
      </c>
      <c r="E30" s="1" t="s">
        <v>189</v>
      </c>
      <c r="F30" s="1" t="s">
        <v>190</v>
      </c>
      <c r="G30" s="1">
        <v>5</v>
      </c>
      <c r="H30" s="1" t="s">
        <v>28</v>
      </c>
      <c r="I30" s="1">
        <v>80000</v>
      </c>
      <c r="J30" s="1" t="s">
        <v>38</v>
      </c>
      <c r="K30" s="1" t="s">
        <v>30</v>
      </c>
      <c r="L30" s="11" t="s">
        <v>39</v>
      </c>
    </row>
    <row r="31" spans="1:12" x14ac:dyDescent="0.35">
      <c r="A31" s="10" t="s">
        <v>191</v>
      </c>
      <c r="B31" s="2" t="s">
        <v>192</v>
      </c>
      <c r="C31" s="2" t="s">
        <v>14</v>
      </c>
      <c r="D31" s="2" t="s">
        <v>193</v>
      </c>
      <c r="E31" s="2" t="s">
        <v>194</v>
      </c>
      <c r="F31" s="2" t="s">
        <v>195</v>
      </c>
      <c r="G31" s="2">
        <v>3</v>
      </c>
      <c r="H31" s="2" t="s">
        <v>92</v>
      </c>
      <c r="I31" s="2" t="s">
        <v>196</v>
      </c>
      <c r="J31" s="2" t="s">
        <v>38</v>
      </c>
      <c r="K31" s="2" t="s">
        <v>20</v>
      </c>
      <c r="L31" s="12" t="s">
        <v>99</v>
      </c>
    </row>
    <row r="32" spans="1:12" x14ac:dyDescent="0.35">
      <c r="A32" s="9" t="s">
        <v>197</v>
      </c>
      <c r="B32" s="1" t="s">
        <v>198</v>
      </c>
      <c r="C32" s="1" t="s">
        <v>14</v>
      </c>
      <c r="D32" s="1" t="s">
        <v>199</v>
      </c>
      <c r="E32" s="1" t="s">
        <v>200</v>
      </c>
      <c r="F32" s="1" t="s">
        <v>201</v>
      </c>
      <c r="G32" s="1">
        <v>4</v>
      </c>
      <c r="H32" s="1" t="s">
        <v>53</v>
      </c>
      <c r="I32" s="1">
        <v>97000</v>
      </c>
      <c r="J32" s="1" t="s">
        <v>29</v>
      </c>
      <c r="K32" s="1" t="s">
        <v>20</v>
      </c>
      <c r="L32" s="11" t="s">
        <v>55</v>
      </c>
    </row>
    <row r="33" spans="1:12" x14ac:dyDescent="0.35">
      <c r="A33" s="10" t="s">
        <v>202</v>
      </c>
      <c r="B33" s="2" t="s">
        <v>203</v>
      </c>
      <c r="C33" s="2"/>
      <c r="D33" s="2" t="s">
        <v>204</v>
      </c>
      <c r="E33" s="2" t="s">
        <v>205</v>
      </c>
      <c r="F33" s="2" t="s">
        <v>206</v>
      </c>
      <c r="G33" s="2">
        <v>4</v>
      </c>
      <c r="H33" s="2" t="s">
        <v>121</v>
      </c>
      <c r="I33" s="2">
        <v>132000</v>
      </c>
      <c r="J33" s="2" t="s">
        <v>38</v>
      </c>
      <c r="K33" s="2" t="s">
        <v>20</v>
      </c>
      <c r="L33" s="12" t="s">
        <v>99</v>
      </c>
    </row>
    <row r="34" spans="1:12" x14ac:dyDescent="0.35">
      <c r="A34" s="9" t="s">
        <v>207</v>
      </c>
      <c r="B34" s="1" t="s">
        <v>208</v>
      </c>
      <c r="C34" s="1" t="s">
        <v>14</v>
      </c>
      <c r="D34" s="1" t="s">
        <v>209</v>
      </c>
      <c r="E34" s="1" t="s">
        <v>210</v>
      </c>
      <c r="F34" s="1" t="s">
        <v>211</v>
      </c>
      <c r="G34" s="1">
        <v>4</v>
      </c>
      <c r="H34" s="1" t="s">
        <v>86</v>
      </c>
      <c r="I34" s="1">
        <v>89000</v>
      </c>
      <c r="J34" s="1" t="s">
        <v>38</v>
      </c>
      <c r="K34" s="1" t="s">
        <v>20</v>
      </c>
      <c r="L34" s="11" t="s">
        <v>55</v>
      </c>
    </row>
    <row r="35" spans="1:12" x14ac:dyDescent="0.35">
      <c r="A35" s="10" t="s">
        <v>212</v>
      </c>
      <c r="B35" s="2" t="s">
        <v>213</v>
      </c>
      <c r="C35" s="2" t="s">
        <v>49</v>
      </c>
      <c r="D35" s="2" t="s">
        <v>214</v>
      </c>
      <c r="E35" s="2" t="s">
        <v>215</v>
      </c>
      <c r="F35" s="2" t="s">
        <v>216</v>
      </c>
      <c r="G35" s="2"/>
      <c r="H35" s="2" t="s">
        <v>18</v>
      </c>
      <c r="I35" s="2" t="s">
        <v>217</v>
      </c>
      <c r="J35" s="2" t="s">
        <v>38</v>
      </c>
      <c r="K35" s="2" t="s">
        <v>30</v>
      </c>
      <c r="L35" s="12" t="s">
        <v>99</v>
      </c>
    </row>
    <row r="36" spans="1:12" x14ac:dyDescent="0.35">
      <c r="A36" s="9" t="s">
        <v>218</v>
      </c>
      <c r="B36" s="1" t="s">
        <v>219</v>
      </c>
      <c r="C36" s="1" t="s">
        <v>134</v>
      </c>
      <c r="D36" s="1" t="s">
        <v>220</v>
      </c>
      <c r="E36" s="1" t="s">
        <v>221</v>
      </c>
      <c r="F36" s="1" t="s">
        <v>222</v>
      </c>
      <c r="G36" s="1">
        <v>4</v>
      </c>
      <c r="H36" s="1" t="s">
        <v>121</v>
      </c>
      <c r="I36" s="1">
        <v>95000</v>
      </c>
      <c r="J36" s="1" t="s">
        <v>38</v>
      </c>
      <c r="K36" s="1" t="s">
        <v>30</v>
      </c>
      <c r="L36" s="11" t="s">
        <v>46</v>
      </c>
    </row>
    <row r="37" spans="1:12" x14ac:dyDescent="0.35">
      <c r="A37" s="10" t="s">
        <v>223</v>
      </c>
      <c r="B37" s="2" t="s">
        <v>224</v>
      </c>
      <c r="C37" s="2" t="s">
        <v>112</v>
      </c>
      <c r="D37" s="2" t="s">
        <v>225</v>
      </c>
      <c r="E37" s="2" t="s">
        <v>226</v>
      </c>
      <c r="F37" s="2" t="s">
        <v>227</v>
      </c>
      <c r="G37" s="2">
        <v>4</v>
      </c>
      <c r="H37" s="2" t="s">
        <v>53</v>
      </c>
      <c r="I37" s="2">
        <v>41000</v>
      </c>
      <c r="J37" s="2" t="s">
        <v>19</v>
      </c>
      <c r="K37" s="2" t="s">
        <v>20</v>
      </c>
      <c r="L37" s="12" t="s">
        <v>55</v>
      </c>
    </row>
    <row r="38" spans="1:12" x14ac:dyDescent="0.35">
      <c r="A38" s="9" t="s">
        <v>228</v>
      </c>
      <c r="B38" s="1" t="s">
        <v>229</v>
      </c>
      <c r="C38" s="1" t="s">
        <v>145</v>
      </c>
      <c r="D38" s="1" t="s">
        <v>230</v>
      </c>
      <c r="E38" s="1" t="s">
        <v>231</v>
      </c>
      <c r="F38" s="1" t="s">
        <v>232</v>
      </c>
      <c r="G38" s="1">
        <v>5</v>
      </c>
      <c r="H38" s="1" t="s">
        <v>121</v>
      </c>
      <c r="I38" s="1">
        <v>94000</v>
      </c>
      <c r="J38" s="1" t="s">
        <v>38</v>
      </c>
      <c r="K38" s="1" t="s">
        <v>62</v>
      </c>
      <c r="L38" s="11" t="s">
        <v>99</v>
      </c>
    </row>
    <row r="39" spans="1:12" x14ac:dyDescent="0.35">
      <c r="A39" s="10" t="s">
        <v>233</v>
      </c>
      <c r="B39" s="2" t="s">
        <v>234</v>
      </c>
      <c r="C39" s="2" t="s">
        <v>134</v>
      </c>
      <c r="D39" s="2" t="s">
        <v>235</v>
      </c>
      <c r="E39" s="2" t="s">
        <v>236</v>
      </c>
      <c r="F39" s="2" t="s">
        <v>237</v>
      </c>
      <c r="G39" s="2">
        <v>1</v>
      </c>
      <c r="H39" s="2" t="s">
        <v>61</v>
      </c>
      <c r="I39" s="2">
        <v>142000</v>
      </c>
      <c r="J39" s="2" t="s">
        <v>38</v>
      </c>
      <c r="K39" s="2" t="s">
        <v>54</v>
      </c>
      <c r="L39" s="12" t="s">
        <v>31</v>
      </c>
    </row>
    <row r="40" spans="1:12" x14ac:dyDescent="0.35">
      <c r="A40" s="9" t="s">
        <v>238</v>
      </c>
      <c r="B40" s="1" t="s">
        <v>239</v>
      </c>
      <c r="C40" s="1" t="s">
        <v>145</v>
      </c>
      <c r="D40" s="1" t="s">
        <v>240</v>
      </c>
      <c r="E40" s="1" t="s">
        <v>241</v>
      </c>
      <c r="F40" s="1" t="s">
        <v>242</v>
      </c>
      <c r="G40" s="1">
        <v>4</v>
      </c>
      <c r="H40" s="1" t="s">
        <v>92</v>
      </c>
      <c r="I40" s="1">
        <v>98000</v>
      </c>
      <c r="J40" s="1" t="s">
        <v>29</v>
      </c>
      <c r="K40" s="1" t="s">
        <v>20</v>
      </c>
      <c r="L40" s="11" t="s">
        <v>21</v>
      </c>
    </row>
    <row r="41" spans="1:12" x14ac:dyDescent="0.35">
      <c r="A41" s="10" t="s">
        <v>243</v>
      </c>
      <c r="B41" s="2" t="s">
        <v>244</v>
      </c>
      <c r="C41" s="2" t="s">
        <v>34</v>
      </c>
      <c r="D41" s="2" t="s">
        <v>245</v>
      </c>
      <c r="E41" s="2" t="s">
        <v>246</v>
      </c>
      <c r="F41" s="2" t="s">
        <v>247</v>
      </c>
      <c r="G41" s="2">
        <v>4</v>
      </c>
      <c r="H41" s="2" t="s">
        <v>53</v>
      </c>
      <c r="I41" s="2" t="s">
        <v>248</v>
      </c>
      <c r="J41" s="2" t="s">
        <v>19</v>
      </c>
      <c r="K41" s="2" t="s">
        <v>54</v>
      </c>
      <c r="L41" s="12" t="s">
        <v>31</v>
      </c>
    </row>
    <row r="42" spans="1:12" x14ac:dyDescent="0.35">
      <c r="A42" s="9" t="s">
        <v>249</v>
      </c>
      <c r="B42" s="1" t="s">
        <v>250</v>
      </c>
      <c r="C42" s="1" t="s">
        <v>34</v>
      </c>
      <c r="D42" s="1" t="s">
        <v>251</v>
      </c>
      <c r="E42" s="1" t="s">
        <v>252</v>
      </c>
      <c r="F42" s="1" t="s">
        <v>253</v>
      </c>
      <c r="G42" s="1">
        <v>3</v>
      </c>
      <c r="H42" s="1" t="s">
        <v>53</v>
      </c>
      <c r="I42" s="1">
        <v>53000</v>
      </c>
      <c r="J42" s="1" t="s">
        <v>38</v>
      </c>
      <c r="K42" s="1" t="s">
        <v>62</v>
      </c>
      <c r="L42" s="11" t="s">
        <v>55</v>
      </c>
    </row>
    <row r="43" spans="1:12" x14ac:dyDescent="0.35">
      <c r="A43" s="10" t="s">
        <v>254</v>
      </c>
      <c r="B43" s="2" t="s">
        <v>255</v>
      </c>
      <c r="C43" s="2" t="s">
        <v>14</v>
      </c>
      <c r="D43" s="2" t="s">
        <v>256</v>
      </c>
      <c r="E43" s="2" t="s">
        <v>257</v>
      </c>
      <c r="F43" s="2" t="s">
        <v>258</v>
      </c>
      <c r="G43" s="2">
        <v>3</v>
      </c>
      <c r="H43" s="2" t="s">
        <v>28</v>
      </c>
      <c r="I43" s="2">
        <v>110000</v>
      </c>
      <c r="J43" s="2" t="s">
        <v>38</v>
      </c>
      <c r="K43" s="2" t="s">
        <v>30</v>
      </c>
      <c r="L43" s="12" t="s">
        <v>99</v>
      </c>
    </row>
    <row r="44" spans="1:12" x14ac:dyDescent="0.35">
      <c r="A44" s="9" t="s">
        <v>259</v>
      </c>
      <c r="B44" s="1" t="s">
        <v>260</v>
      </c>
      <c r="C44" s="1" t="s">
        <v>42</v>
      </c>
      <c r="D44" s="1" t="s">
        <v>261</v>
      </c>
      <c r="E44" s="1" t="s">
        <v>262</v>
      </c>
      <c r="F44" s="1" t="s">
        <v>263</v>
      </c>
      <c r="G44" s="1">
        <v>3</v>
      </c>
      <c r="H44" s="1" t="s">
        <v>61</v>
      </c>
      <c r="I44" s="1">
        <v>134000</v>
      </c>
      <c r="J44" s="1" t="s">
        <v>19</v>
      </c>
      <c r="K44" s="1" t="s">
        <v>20</v>
      </c>
      <c r="L44" s="11" t="s">
        <v>55</v>
      </c>
    </row>
    <row r="45" spans="1:12" x14ac:dyDescent="0.35">
      <c r="A45" s="10" t="s">
        <v>264</v>
      </c>
      <c r="B45" s="2" t="s">
        <v>265</v>
      </c>
      <c r="C45" s="2" t="s">
        <v>42</v>
      </c>
      <c r="D45" s="2" t="s">
        <v>266</v>
      </c>
      <c r="E45" s="2" t="s">
        <v>267</v>
      </c>
      <c r="F45" s="2" t="s">
        <v>268</v>
      </c>
      <c r="G45" s="2">
        <v>3</v>
      </c>
      <c r="H45" s="2" t="s">
        <v>92</v>
      </c>
      <c r="I45" s="2">
        <v>135000</v>
      </c>
      <c r="J45" s="2" t="s">
        <v>29</v>
      </c>
      <c r="K45" s="2" t="s">
        <v>30</v>
      </c>
      <c r="L45" s="12" t="s">
        <v>55</v>
      </c>
    </row>
    <row r="46" spans="1:12" x14ac:dyDescent="0.35">
      <c r="A46" s="9" t="s">
        <v>269</v>
      </c>
      <c r="B46" s="1" t="s">
        <v>270</v>
      </c>
      <c r="C46" s="1" t="s">
        <v>134</v>
      </c>
      <c r="D46" s="1" t="s">
        <v>271</v>
      </c>
      <c r="E46" s="1" t="s">
        <v>272</v>
      </c>
      <c r="F46" s="1" t="s">
        <v>273</v>
      </c>
      <c r="G46" s="1">
        <v>2</v>
      </c>
      <c r="H46" s="1" t="s">
        <v>53</v>
      </c>
      <c r="I46" s="1">
        <v>36000</v>
      </c>
      <c r="J46" s="1" t="s">
        <v>19</v>
      </c>
      <c r="K46" s="1" t="s">
        <v>30</v>
      </c>
      <c r="L46" s="11" t="s">
        <v>55</v>
      </c>
    </row>
    <row r="47" spans="1:12" x14ac:dyDescent="0.35">
      <c r="A47" s="10" t="s">
        <v>274</v>
      </c>
      <c r="B47" s="2" t="s">
        <v>275</v>
      </c>
      <c r="C47" s="2" t="s">
        <v>112</v>
      </c>
      <c r="D47" s="2" t="s">
        <v>276</v>
      </c>
      <c r="E47" s="2" t="s">
        <v>277</v>
      </c>
      <c r="F47" s="2" t="s">
        <v>278</v>
      </c>
      <c r="G47" s="2">
        <v>4</v>
      </c>
      <c r="H47" s="2" t="s">
        <v>121</v>
      </c>
      <c r="I47" s="2">
        <v>52000</v>
      </c>
      <c r="J47" s="2" t="s">
        <v>29</v>
      </c>
      <c r="K47" s="2" t="s">
        <v>20</v>
      </c>
      <c r="L47" s="12" t="s">
        <v>80</v>
      </c>
    </row>
    <row r="48" spans="1:12" x14ac:dyDescent="0.35">
      <c r="A48" s="9" t="s">
        <v>279</v>
      </c>
      <c r="B48" s="1" t="s">
        <v>280</v>
      </c>
      <c r="C48" s="1" t="s">
        <v>134</v>
      </c>
      <c r="D48" s="1" t="s">
        <v>281</v>
      </c>
      <c r="E48" s="1" t="s">
        <v>282</v>
      </c>
      <c r="F48" s="1" t="s">
        <v>283</v>
      </c>
      <c r="G48" s="1">
        <v>3</v>
      </c>
      <c r="H48" s="1" t="s">
        <v>68</v>
      </c>
      <c r="I48" s="1">
        <v>91000</v>
      </c>
      <c r="J48" s="1" t="s">
        <v>29</v>
      </c>
      <c r="K48" s="1" t="s">
        <v>20</v>
      </c>
      <c r="L48" s="11" t="s">
        <v>31</v>
      </c>
    </row>
    <row r="49" spans="1:12" x14ac:dyDescent="0.35">
      <c r="A49" s="10" t="s">
        <v>284</v>
      </c>
      <c r="B49" s="2" t="s">
        <v>285</v>
      </c>
      <c r="C49" s="2" t="s">
        <v>145</v>
      </c>
      <c r="D49" s="2" t="s">
        <v>286</v>
      </c>
      <c r="E49" s="2" t="s">
        <v>287</v>
      </c>
      <c r="F49" s="2" t="s">
        <v>288</v>
      </c>
      <c r="G49" s="2">
        <v>4</v>
      </c>
      <c r="H49" s="2" t="s">
        <v>86</v>
      </c>
      <c r="I49" s="2">
        <v>43000</v>
      </c>
      <c r="J49" s="2" t="s">
        <v>19</v>
      </c>
      <c r="K49" s="2" t="s">
        <v>20</v>
      </c>
      <c r="L49" s="12" t="s">
        <v>55</v>
      </c>
    </row>
    <row r="50" spans="1:12" x14ac:dyDescent="0.35">
      <c r="A50" s="9" t="s">
        <v>289</v>
      </c>
      <c r="B50" s="1" t="s">
        <v>290</v>
      </c>
      <c r="C50" s="1" t="s">
        <v>42</v>
      </c>
      <c r="D50" s="1" t="s">
        <v>291</v>
      </c>
      <c r="E50" s="1" t="s">
        <v>292</v>
      </c>
      <c r="F50" s="1" t="s">
        <v>293</v>
      </c>
      <c r="G50" s="1"/>
      <c r="H50" s="1" t="s">
        <v>53</v>
      </c>
      <c r="I50" s="1">
        <v>102000</v>
      </c>
      <c r="J50" s="1" t="s">
        <v>38</v>
      </c>
      <c r="K50" s="1" t="s">
        <v>20</v>
      </c>
      <c r="L50" s="11" t="s">
        <v>99</v>
      </c>
    </row>
    <row r="51" spans="1:12" x14ac:dyDescent="0.35">
      <c r="A51" s="10" t="s">
        <v>294</v>
      </c>
      <c r="B51" s="2" t="s">
        <v>295</v>
      </c>
      <c r="C51" s="2" t="s">
        <v>42</v>
      </c>
      <c r="D51" s="2" t="s">
        <v>296</v>
      </c>
      <c r="E51" s="2" t="s">
        <v>297</v>
      </c>
      <c r="F51" s="2" t="s">
        <v>298</v>
      </c>
      <c r="G51" s="2">
        <v>5</v>
      </c>
      <c r="H51" s="2" t="s">
        <v>121</v>
      </c>
      <c r="I51" s="2">
        <v>150000</v>
      </c>
      <c r="J51" s="2" t="s">
        <v>19</v>
      </c>
      <c r="K51" s="2" t="s">
        <v>20</v>
      </c>
      <c r="L51" s="12" t="s">
        <v>39</v>
      </c>
    </row>
    <row r="52" spans="1:12" x14ac:dyDescent="0.35">
      <c r="A52" s="9" t="s">
        <v>81</v>
      </c>
      <c r="B52" s="1" t="s">
        <v>299</v>
      </c>
      <c r="C52" s="1" t="s">
        <v>34</v>
      </c>
      <c r="D52" s="1" t="s">
        <v>300</v>
      </c>
      <c r="E52" s="1" t="s">
        <v>301</v>
      </c>
      <c r="F52" s="1" t="s">
        <v>85</v>
      </c>
      <c r="G52" s="1">
        <v>3</v>
      </c>
      <c r="H52" s="1" t="s">
        <v>86</v>
      </c>
      <c r="I52" s="1">
        <v>145000</v>
      </c>
      <c r="J52" s="1" t="s">
        <v>38</v>
      </c>
      <c r="K52" s="1" t="s">
        <v>30</v>
      </c>
      <c r="L52" s="11" t="s">
        <v>80</v>
      </c>
    </row>
    <row r="53" spans="1:12" x14ac:dyDescent="0.35">
      <c r="A53" s="10" t="s">
        <v>110</v>
      </c>
      <c r="B53" s="2" t="s">
        <v>299</v>
      </c>
      <c r="C53" s="2" t="s">
        <v>112</v>
      </c>
      <c r="D53" s="2" t="s">
        <v>302</v>
      </c>
      <c r="E53" s="2" t="s">
        <v>114</v>
      </c>
      <c r="F53" s="2" t="s">
        <v>303</v>
      </c>
      <c r="G53" s="2">
        <v>5</v>
      </c>
      <c r="H53" s="2" t="s">
        <v>18</v>
      </c>
      <c r="I53" s="2">
        <v>150000</v>
      </c>
      <c r="J53" s="2" t="s">
        <v>38</v>
      </c>
      <c r="K53" s="2" t="s">
        <v>30</v>
      </c>
      <c r="L53" s="12" t="s">
        <v>21</v>
      </c>
    </row>
    <row r="54" spans="1:12" x14ac:dyDescent="0.35">
      <c r="A54" s="13" t="s">
        <v>122</v>
      </c>
      <c r="B54" s="14" t="s">
        <v>299</v>
      </c>
      <c r="C54" s="14" t="s">
        <v>14</v>
      </c>
      <c r="D54" s="14" t="s">
        <v>124</v>
      </c>
      <c r="E54" s="14" t="s">
        <v>304</v>
      </c>
      <c r="F54" s="14" t="s">
        <v>305</v>
      </c>
      <c r="G54" s="14">
        <v>2</v>
      </c>
      <c r="H54" s="14" t="s">
        <v>61</v>
      </c>
      <c r="I54" s="14">
        <v>57000</v>
      </c>
      <c r="J54" s="14" t="s">
        <v>38</v>
      </c>
      <c r="K54" s="14" t="s">
        <v>30</v>
      </c>
      <c r="L54" s="15" t="s">
        <v>80</v>
      </c>
    </row>
  </sheetData>
  <sheetProtection algorithmName="SHA-512" hashValue="GYurEmOg3LV+vuz+Jxv5nIC4hdApCmvweh0aLDsn7vkjOD/P4SqGY+JOPcGrkarRuovuzGjLMqyYu3FDNrYCaA==" saltValue="XQWJvFCHRgHePlEjK6/Yjg==" spinCount="100000" sheet="1" objects="1" scenarios="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0"/>
  <sheetViews>
    <sheetView workbookViewId="0">
      <selection sqref="A1:B1"/>
    </sheetView>
  </sheetViews>
  <sheetFormatPr defaultRowHeight="14.5" x14ac:dyDescent="0.35"/>
  <cols>
    <col min="1" max="1" width="14" customWidth="1"/>
    <col min="2" max="2" width="22" customWidth="1"/>
    <col min="3" max="3" width="3" customWidth="1"/>
    <col min="4" max="4" width="16" customWidth="1"/>
    <col min="5" max="5" width="22" customWidth="1"/>
  </cols>
  <sheetData>
    <row r="1" spans="1:5" ht="15.5" x14ac:dyDescent="0.35">
      <c r="A1" s="50" t="s">
        <v>306</v>
      </c>
      <c r="B1" s="51"/>
      <c r="C1" s="8"/>
      <c r="D1" s="50" t="s">
        <v>307</v>
      </c>
      <c r="E1" s="51"/>
    </row>
    <row r="2" spans="1:5" x14ac:dyDescent="0.35">
      <c r="A2" s="3" t="s">
        <v>7</v>
      </c>
      <c r="B2" s="3" t="s">
        <v>308</v>
      </c>
      <c r="C2" s="8"/>
      <c r="D2" s="3" t="s">
        <v>2</v>
      </c>
      <c r="E2" s="3" t="s">
        <v>309</v>
      </c>
    </row>
    <row r="3" spans="1:5" x14ac:dyDescent="0.35">
      <c r="A3" s="4" t="s">
        <v>18</v>
      </c>
      <c r="B3" s="4" t="s">
        <v>310</v>
      </c>
      <c r="C3" s="8"/>
      <c r="D3" s="4" t="s">
        <v>42</v>
      </c>
      <c r="E3" s="5">
        <v>12000000</v>
      </c>
    </row>
    <row r="4" spans="1:5" x14ac:dyDescent="0.35">
      <c r="A4" s="6" t="s">
        <v>121</v>
      </c>
      <c r="B4" s="6" t="s">
        <v>311</v>
      </c>
      <c r="C4" s="8"/>
      <c r="D4" s="6" t="s">
        <v>34</v>
      </c>
      <c r="E4" s="7">
        <v>18000000</v>
      </c>
    </row>
    <row r="5" spans="1:5" x14ac:dyDescent="0.35">
      <c r="A5" s="4" t="s">
        <v>92</v>
      </c>
      <c r="B5" s="4" t="s">
        <v>312</v>
      </c>
      <c r="C5" s="8"/>
      <c r="D5" s="4" t="s">
        <v>134</v>
      </c>
      <c r="E5" s="5">
        <v>4500000</v>
      </c>
    </row>
    <row r="6" spans="1:5" x14ac:dyDescent="0.35">
      <c r="A6" s="6" t="s">
        <v>86</v>
      </c>
      <c r="B6" s="6" t="s">
        <v>313</v>
      </c>
      <c r="C6" s="8"/>
      <c r="D6" s="6" t="s">
        <v>145</v>
      </c>
      <c r="E6" s="7">
        <v>6000000</v>
      </c>
    </row>
    <row r="7" spans="1:5" x14ac:dyDescent="0.35">
      <c r="A7" s="4" t="s">
        <v>61</v>
      </c>
      <c r="B7" s="4" t="s">
        <v>314</v>
      </c>
      <c r="C7" s="8"/>
      <c r="D7" s="4" t="s">
        <v>14</v>
      </c>
      <c r="E7" s="5">
        <v>8000000</v>
      </c>
    </row>
    <row r="8" spans="1:5" x14ac:dyDescent="0.35">
      <c r="A8" s="6" t="s">
        <v>28</v>
      </c>
      <c r="B8" s="6" t="s">
        <v>315</v>
      </c>
      <c r="C8" s="8"/>
      <c r="D8" s="6" t="s">
        <v>112</v>
      </c>
      <c r="E8" s="7">
        <v>9500000</v>
      </c>
    </row>
    <row r="9" spans="1:5" x14ac:dyDescent="0.35">
      <c r="A9" s="4" t="s">
        <v>53</v>
      </c>
      <c r="B9" s="4" t="s">
        <v>316</v>
      </c>
      <c r="C9" s="8"/>
      <c r="D9" s="4" t="s">
        <v>24</v>
      </c>
      <c r="E9" s="5">
        <v>11000000</v>
      </c>
    </row>
    <row r="10" spans="1:5" x14ac:dyDescent="0.35">
      <c r="A10" s="6" t="s">
        <v>68</v>
      </c>
      <c r="B10" s="6" t="s">
        <v>317</v>
      </c>
      <c r="C10" s="8"/>
      <c r="D10" s="6" t="s">
        <v>49</v>
      </c>
      <c r="E10" s="7">
        <v>3500000</v>
      </c>
    </row>
  </sheetData>
  <sheetProtection algorithmName="SHA-512" hashValue="ZEqq6R4o/YmllIRANCt8KCAnJguuuwScIh9iO/50STEV0k71lONejh8y7MKg1qq3wJlpGtTrfqmFerIqFpdBzA==" saltValue="ShU/SfQzZPKOqK5VQ7QAMw==" spinCount="100000" sheet="1" objects="1" scenarios="1"/>
  <mergeCells count="2">
    <mergeCell ref="D1:E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sheetPr>
  <dimension ref="A1:P51"/>
  <sheetViews>
    <sheetView topLeftCell="B1" workbookViewId="0">
      <selection activeCell="B5" sqref="B5"/>
    </sheetView>
  </sheetViews>
  <sheetFormatPr defaultRowHeight="14.5" x14ac:dyDescent="0.35"/>
  <cols>
    <col min="1" max="1" width="8.6328125" bestFit="1" customWidth="1"/>
    <col min="2" max="2" width="18.453125" bestFit="1" customWidth="1"/>
    <col min="3" max="3" width="13.453125" bestFit="1" customWidth="1"/>
    <col min="4" max="4" width="11" style="25" bestFit="1" customWidth="1"/>
    <col min="5" max="5" width="10.08984375" style="25" bestFit="1" customWidth="1"/>
    <col min="6" max="6" width="20.54296875" style="25" bestFit="1" customWidth="1"/>
    <col min="7" max="7" width="24.26953125" style="26" bestFit="1" customWidth="1"/>
    <col min="8" max="8" width="12.81640625" bestFit="1" customWidth="1"/>
    <col min="9" max="9" width="15.7265625" style="17" bestFit="1" customWidth="1"/>
    <col min="10" max="10" width="8.453125" bestFit="1" customWidth="1"/>
    <col min="11" max="11" width="9.26953125" bestFit="1" customWidth="1"/>
    <col min="12" max="12" width="10.453125" bestFit="1" customWidth="1"/>
    <col min="13" max="13" width="17.453125" customWidth="1"/>
    <col min="14" max="14" width="15.81640625" style="18" bestFit="1" customWidth="1"/>
  </cols>
  <sheetData>
    <row r="1" spans="1:16" x14ac:dyDescent="0.35">
      <c r="A1" s="16" t="s">
        <v>0</v>
      </c>
      <c r="B1" s="16" t="s">
        <v>1</v>
      </c>
      <c r="C1" s="16" t="s">
        <v>2</v>
      </c>
      <c r="D1" s="25" t="s">
        <v>3</v>
      </c>
      <c r="E1" s="25" t="s">
        <v>318</v>
      </c>
      <c r="F1" s="25" t="s">
        <v>5</v>
      </c>
      <c r="G1" s="26" t="s">
        <v>6</v>
      </c>
      <c r="H1" s="16" t="s">
        <v>7</v>
      </c>
      <c r="I1" s="17" t="s">
        <v>8</v>
      </c>
      <c r="J1" s="16" t="s">
        <v>9</v>
      </c>
      <c r="K1" s="16" t="s">
        <v>10</v>
      </c>
      <c r="L1" s="16" t="s">
        <v>11</v>
      </c>
      <c r="M1" s="8" t="s">
        <v>308</v>
      </c>
      <c r="N1" s="18" t="s">
        <v>319</v>
      </c>
      <c r="O1" s="8"/>
      <c r="P1" s="8"/>
    </row>
    <row r="2" spans="1:16" x14ac:dyDescent="0.35">
      <c r="A2" s="16" t="s">
        <v>12</v>
      </c>
      <c r="B2" s="16" t="s">
        <v>13</v>
      </c>
      <c r="C2" s="16" t="s">
        <v>14</v>
      </c>
      <c r="D2" s="25">
        <v>41398</v>
      </c>
      <c r="E2" s="25">
        <v>24890</v>
      </c>
      <c r="F2" s="25">
        <v>43150</v>
      </c>
      <c r="G2" s="26">
        <v>3</v>
      </c>
      <c r="H2" s="16" t="s">
        <v>18</v>
      </c>
      <c r="I2" s="18">
        <v>46000</v>
      </c>
      <c r="J2" s="16" t="s">
        <v>38</v>
      </c>
      <c r="K2" s="16" t="s">
        <v>20</v>
      </c>
      <c r="L2" s="16" t="s">
        <v>21</v>
      </c>
      <c r="M2" s="16" t="str">
        <f>_xlfn.XLOOKUP(Clean_Data[[#This Row],[Manager ID]],Lookup_Tables!$A$3:$A$10,Lookup_Tables!$B$3:$B$10)</f>
        <v>Rajiv Khanna</v>
      </c>
      <c r="N2" s="18">
        <f>_xlfn.XLOOKUP(Clean_Data[[#This Row],[Department]],Lookup_Tables!$D$3:$D$10,Lookup_Tables!$E$3:$E$10)</f>
        <v>8000000</v>
      </c>
      <c r="O2" s="8"/>
      <c r="P2" s="8"/>
    </row>
    <row r="3" spans="1:16" x14ac:dyDescent="0.35">
      <c r="A3" s="16" t="s">
        <v>22</v>
      </c>
      <c r="B3" s="16" t="s">
        <v>23</v>
      </c>
      <c r="C3" s="16" t="s">
        <v>24</v>
      </c>
      <c r="D3" s="25">
        <v>42129</v>
      </c>
      <c r="E3" s="25">
        <v>31932</v>
      </c>
      <c r="F3" s="25">
        <v>42467</v>
      </c>
      <c r="G3" s="26">
        <v>3</v>
      </c>
      <c r="H3" s="16" t="s">
        <v>28</v>
      </c>
      <c r="I3" s="18">
        <v>112000</v>
      </c>
      <c r="J3" s="16" t="s">
        <v>38</v>
      </c>
      <c r="K3" s="16" t="s">
        <v>30</v>
      </c>
      <c r="L3" s="16" t="s">
        <v>31</v>
      </c>
      <c r="M3" s="16" t="str">
        <f>_xlfn.XLOOKUP(Clean_Data[[#This Row],[Manager ID]],Lookup_Tables!$A$3:$A$10,Lookup_Tables!$B$3:$B$10)</f>
        <v>Geeta Pillai</v>
      </c>
      <c r="N3" s="18">
        <f>_xlfn.XLOOKUP(Clean_Data[[#This Row],[Department]],Lookup_Tables!$D$3:$D$10,Lookup_Tables!$E$3:$E$10)</f>
        <v>11000000</v>
      </c>
      <c r="O3" s="8"/>
      <c r="P3" s="8"/>
    </row>
    <row r="4" spans="1:16" x14ac:dyDescent="0.35">
      <c r="A4" s="16" t="s">
        <v>32</v>
      </c>
      <c r="B4" s="16" t="s">
        <v>33</v>
      </c>
      <c r="C4" s="16" t="s">
        <v>34</v>
      </c>
      <c r="D4" s="25">
        <v>40490</v>
      </c>
      <c r="E4" s="25">
        <v>28914</v>
      </c>
      <c r="F4" s="25">
        <v>40952</v>
      </c>
      <c r="G4" s="26">
        <v>3</v>
      </c>
      <c r="H4" s="16" t="s">
        <v>28</v>
      </c>
      <c r="I4" s="18">
        <v>55000</v>
      </c>
      <c r="J4" s="16" t="s">
        <v>38</v>
      </c>
      <c r="K4" s="16" t="s">
        <v>30</v>
      </c>
      <c r="L4" s="16" t="s">
        <v>39</v>
      </c>
      <c r="M4" s="16" t="str">
        <f>_xlfn.XLOOKUP(Clean_Data[[#This Row],[Manager ID]],Lookup_Tables!$A$3:$A$10,Lookup_Tables!$B$3:$B$10)</f>
        <v>Geeta Pillai</v>
      </c>
      <c r="N4" s="18">
        <f>_xlfn.XLOOKUP(Clean_Data[[#This Row],[Department]],Lookup_Tables!$D$3:$D$10,Lookup_Tables!$E$3:$E$10)</f>
        <v>18000000</v>
      </c>
      <c r="O4" s="8"/>
      <c r="P4" s="8"/>
    </row>
    <row r="5" spans="1:16" x14ac:dyDescent="0.35">
      <c r="A5" s="16" t="s">
        <v>40</v>
      </c>
      <c r="B5" s="16" t="s">
        <v>41</v>
      </c>
      <c r="C5" s="16" t="s">
        <v>42</v>
      </c>
      <c r="D5" s="25">
        <v>41300</v>
      </c>
      <c r="E5" s="25">
        <v>29776</v>
      </c>
      <c r="F5" s="25">
        <v>41748</v>
      </c>
      <c r="G5" s="26">
        <v>5</v>
      </c>
      <c r="H5" s="16" t="s">
        <v>28</v>
      </c>
      <c r="I5" s="18">
        <v>62000</v>
      </c>
      <c r="J5" s="16" t="s">
        <v>38</v>
      </c>
      <c r="K5" s="16" t="s">
        <v>30</v>
      </c>
      <c r="L5" s="16" t="s">
        <v>46</v>
      </c>
      <c r="M5" s="16" t="str">
        <f>_xlfn.XLOOKUP(Clean_Data[[#This Row],[Manager ID]],Lookup_Tables!$A$3:$A$10,Lookup_Tables!$B$3:$B$10)</f>
        <v>Geeta Pillai</v>
      </c>
      <c r="N5" s="18">
        <f>_xlfn.XLOOKUP(Clean_Data[[#This Row],[Department]],Lookup_Tables!$D$3:$D$10,Lookup_Tables!$E$3:$E$10)</f>
        <v>12000000</v>
      </c>
      <c r="O5" s="8"/>
      <c r="P5" s="8"/>
    </row>
    <row r="6" spans="1:16" x14ac:dyDescent="0.35">
      <c r="A6" s="16" t="s">
        <v>47</v>
      </c>
      <c r="B6" s="16" t="s">
        <v>48</v>
      </c>
      <c r="C6" s="16" t="s">
        <v>49</v>
      </c>
      <c r="D6" s="25">
        <v>40571</v>
      </c>
      <c r="E6" s="25">
        <v>31492</v>
      </c>
      <c r="F6" s="25">
        <v>41592</v>
      </c>
      <c r="G6" s="26">
        <v>4</v>
      </c>
      <c r="H6" s="16" t="s">
        <v>53</v>
      </c>
      <c r="I6" s="18">
        <v>83000</v>
      </c>
      <c r="J6" s="16" t="s">
        <v>38</v>
      </c>
      <c r="K6" s="16" t="s">
        <v>30</v>
      </c>
      <c r="L6" s="16" t="s">
        <v>55</v>
      </c>
      <c r="M6" s="16" t="str">
        <f>_xlfn.XLOOKUP(Clean_Data[[#This Row],[Manager ID]],Lookup_Tables!$A$3:$A$10,Lookup_Tables!$B$3:$B$10)</f>
        <v>Manish Tiwari</v>
      </c>
      <c r="N6" s="18">
        <f>_xlfn.XLOOKUP(Clean_Data[[#This Row],[Department]],Lookup_Tables!$D$3:$D$10,Lookup_Tables!$E$3:$E$10)</f>
        <v>3500000</v>
      </c>
      <c r="O6" s="8"/>
      <c r="P6" s="8"/>
    </row>
    <row r="7" spans="1:16" x14ac:dyDescent="0.35">
      <c r="A7" s="16" t="s">
        <v>56</v>
      </c>
      <c r="B7" s="16" t="s">
        <v>57</v>
      </c>
      <c r="C7" s="16" t="s">
        <v>49</v>
      </c>
      <c r="D7" s="25">
        <v>40536</v>
      </c>
      <c r="E7" s="25">
        <v>29489</v>
      </c>
      <c r="F7" s="25">
        <v>41008</v>
      </c>
      <c r="G7" s="26">
        <v>5</v>
      </c>
      <c r="H7" s="16" t="s">
        <v>61</v>
      </c>
      <c r="I7" s="18">
        <v>142000</v>
      </c>
      <c r="J7" s="16" t="s">
        <v>38</v>
      </c>
      <c r="K7" s="16" t="s">
        <v>20</v>
      </c>
      <c r="L7" s="16" t="s">
        <v>21</v>
      </c>
      <c r="M7" s="16" t="str">
        <f>_xlfn.XLOOKUP(Clean_Data[[#This Row],[Manager ID]],Lookup_Tables!$A$3:$A$10,Lookup_Tables!$B$3:$B$10)</f>
        <v>Siddharth Roy</v>
      </c>
      <c r="N7" s="18">
        <f>_xlfn.XLOOKUP(Clean_Data[[#This Row],[Department]],Lookup_Tables!$D$3:$D$10,Lookup_Tables!$E$3:$E$10)</f>
        <v>3500000</v>
      </c>
      <c r="O7" s="8"/>
      <c r="P7" s="8"/>
    </row>
    <row r="8" spans="1:16" x14ac:dyDescent="0.35">
      <c r="A8" s="16" t="s">
        <v>63</v>
      </c>
      <c r="B8" s="16" t="s">
        <v>64</v>
      </c>
      <c r="C8" s="16" t="s">
        <v>42</v>
      </c>
      <c r="D8" s="25">
        <v>41343</v>
      </c>
      <c r="E8" s="25">
        <v>32858</v>
      </c>
      <c r="F8" s="25">
        <v>41907</v>
      </c>
      <c r="G8" s="26">
        <v>2</v>
      </c>
      <c r="H8" s="16" t="s">
        <v>68</v>
      </c>
      <c r="I8" s="18">
        <v>105000</v>
      </c>
      <c r="J8" s="16" t="s">
        <v>38</v>
      </c>
      <c r="K8" s="16" t="s">
        <v>20</v>
      </c>
      <c r="L8" s="16" t="s">
        <v>39</v>
      </c>
      <c r="M8" s="16" t="str">
        <f>_xlfn.XLOOKUP(Clean_Data[[#This Row],[Manager ID]],Lookup_Tables!$A$3:$A$10,Lookup_Tables!$B$3:$B$10)</f>
        <v>Divya Reddy</v>
      </c>
      <c r="N8" s="18">
        <f>_xlfn.XLOOKUP(Clean_Data[[#This Row],[Department]],Lookup_Tables!$D$3:$D$10,Lookup_Tables!$E$3:$E$10)</f>
        <v>12000000</v>
      </c>
      <c r="O8" s="8"/>
      <c r="P8" s="8"/>
    </row>
    <row r="9" spans="1:16" x14ac:dyDescent="0.35">
      <c r="A9" s="16" t="s">
        <v>69</v>
      </c>
      <c r="B9" s="16" t="s">
        <v>70</v>
      </c>
      <c r="C9" s="16" t="s">
        <v>49</v>
      </c>
      <c r="D9" s="25">
        <v>40759</v>
      </c>
      <c r="E9" s="25">
        <v>31783</v>
      </c>
      <c r="F9" s="25">
        <v>42621</v>
      </c>
      <c r="G9" s="26">
        <v>4</v>
      </c>
      <c r="H9" s="16" t="s">
        <v>18</v>
      </c>
      <c r="I9" s="18">
        <v>44000</v>
      </c>
      <c r="J9" s="16" t="s">
        <v>38</v>
      </c>
      <c r="K9" s="16" t="s">
        <v>20</v>
      </c>
      <c r="L9" s="16" t="s">
        <v>21</v>
      </c>
      <c r="M9" s="16" t="str">
        <f>_xlfn.XLOOKUP(Clean_Data[[#This Row],[Manager ID]],Lookup_Tables!$A$3:$A$10,Lookup_Tables!$B$3:$B$10)</f>
        <v>Rajiv Khanna</v>
      </c>
      <c r="N9" s="18">
        <f>_xlfn.XLOOKUP(Clean_Data[[#This Row],[Department]],Lookup_Tables!$D$3:$D$10,Lookup_Tables!$E$3:$E$10)</f>
        <v>3500000</v>
      </c>
      <c r="O9" s="8"/>
      <c r="P9" s="8"/>
    </row>
    <row r="10" spans="1:16" x14ac:dyDescent="0.35">
      <c r="A10" s="16" t="s">
        <v>75</v>
      </c>
      <c r="B10" s="16" t="s">
        <v>76</v>
      </c>
      <c r="C10" s="16" t="s">
        <v>24</v>
      </c>
      <c r="D10" s="25">
        <v>41309</v>
      </c>
      <c r="E10" s="25">
        <v>25761</v>
      </c>
      <c r="F10" s="25">
        <v>42931</v>
      </c>
      <c r="G10" s="26">
        <v>5</v>
      </c>
      <c r="H10" s="16" t="s">
        <v>18</v>
      </c>
      <c r="I10" s="18">
        <v>121000</v>
      </c>
      <c r="J10" s="16" t="s">
        <v>38</v>
      </c>
      <c r="K10" s="16" t="s">
        <v>20</v>
      </c>
      <c r="L10" s="16" t="s">
        <v>80</v>
      </c>
      <c r="M10" s="16" t="str">
        <f>_xlfn.XLOOKUP(Clean_Data[[#This Row],[Manager ID]],Lookup_Tables!$A$3:$A$10,Lookup_Tables!$B$3:$B$10)</f>
        <v>Rajiv Khanna</v>
      </c>
      <c r="N10" s="18">
        <f>_xlfn.XLOOKUP(Clean_Data[[#This Row],[Department]],Lookup_Tables!$D$3:$D$10,Lookup_Tables!$E$3:$E$10)</f>
        <v>11000000</v>
      </c>
      <c r="O10" s="8"/>
      <c r="P10" s="8"/>
    </row>
    <row r="11" spans="1:16" x14ac:dyDescent="0.35">
      <c r="A11" s="16" t="s">
        <v>81</v>
      </c>
      <c r="B11" s="16" t="s">
        <v>82</v>
      </c>
      <c r="C11" s="16" t="s">
        <v>34</v>
      </c>
      <c r="D11" s="25">
        <v>40500</v>
      </c>
      <c r="E11" s="25">
        <v>32198</v>
      </c>
      <c r="F11" s="25">
        <v>40982</v>
      </c>
      <c r="G11" s="26">
        <v>3</v>
      </c>
      <c r="H11" s="16" t="s">
        <v>86</v>
      </c>
      <c r="I11" s="18">
        <v>145000</v>
      </c>
      <c r="J11" s="16" t="s">
        <v>38</v>
      </c>
      <c r="K11" s="16" t="s">
        <v>30</v>
      </c>
      <c r="L11" s="16" t="s">
        <v>80</v>
      </c>
      <c r="M11" s="16" t="str">
        <f>_xlfn.XLOOKUP(Clean_Data[[#This Row],[Manager ID]],Lookup_Tables!$A$3:$A$10,Lookup_Tables!$B$3:$B$10)</f>
        <v>Preethi Nair</v>
      </c>
      <c r="N11" s="18">
        <f>_xlfn.XLOOKUP(Clean_Data[[#This Row],[Department]],Lookup_Tables!$D$3:$D$10,Lookup_Tables!$E$3:$E$10)</f>
        <v>18000000</v>
      </c>
      <c r="O11" s="8"/>
      <c r="P11" s="8"/>
    </row>
    <row r="12" spans="1:16" x14ac:dyDescent="0.35">
      <c r="A12" s="16" t="s">
        <v>87</v>
      </c>
      <c r="B12" s="16" t="s">
        <v>88</v>
      </c>
      <c r="C12" s="16" t="s">
        <v>14</v>
      </c>
      <c r="D12" s="25">
        <v>41293</v>
      </c>
      <c r="E12" s="25">
        <v>24877</v>
      </c>
      <c r="F12" s="25">
        <v>42401</v>
      </c>
      <c r="G12" s="26">
        <v>4</v>
      </c>
      <c r="H12" s="16" t="s">
        <v>92</v>
      </c>
      <c r="I12" s="18">
        <v>42000</v>
      </c>
      <c r="J12" s="16" t="s">
        <v>38</v>
      </c>
      <c r="K12" s="16" t="s">
        <v>20</v>
      </c>
      <c r="L12" s="16" t="s">
        <v>31</v>
      </c>
      <c r="M12" s="16" t="str">
        <f>_xlfn.XLOOKUP(Clean_Data[[#This Row],[Manager ID]],Lookup_Tables!$A$3:$A$10,Lookup_Tables!$B$3:$B$10)</f>
        <v>Anil Desai</v>
      </c>
      <c r="N12" s="18">
        <f>_xlfn.XLOOKUP(Clean_Data[[#This Row],[Department]],Lookup_Tables!$D$3:$D$10,Lookup_Tables!$E$3:$E$10)</f>
        <v>8000000</v>
      </c>
      <c r="O12" s="8"/>
      <c r="P12" s="8"/>
    </row>
    <row r="13" spans="1:16" x14ac:dyDescent="0.35">
      <c r="A13" s="16" t="s">
        <v>94</v>
      </c>
      <c r="B13" s="16" t="s">
        <v>95</v>
      </c>
      <c r="C13" s="16" t="s">
        <v>24</v>
      </c>
      <c r="D13" s="25">
        <v>44123</v>
      </c>
      <c r="E13" s="25">
        <v>30111</v>
      </c>
      <c r="F13" s="25">
        <v>44888</v>
      </c>
      <c r="G13" s="26">
        <v>3</v>
      </c>
      <c r="H13" s="16" t="s">
        <v>61</v>
      </c>
      <c r="I13" s="18">
        <v>85000</v>
      </c>
      <c r="J13" s="16" t="s">
        <v>38</v>
      </c>
      <c r="K13" s="16" t="s">
        <v>20</v>
      </c>
      <c r="L13" s="16" t="s">
        <v>99</v>
      </c>
      <c r="M13" s="16" t="str">
        <f>_xlfn.XLOOKUP(Clean_Data[[#This Row],[Manager ID]],Lookup_Tables!$A$3:$A$10,Lookup_Tables!$B$3:$B$10)</f>
        <v>Siddharth Roy</v>
      </c>
      <c r="N13" s="18">
        <f>_xlfn.XLOOKUP(Clean_Data[[#This Row],[Department]],Lookup_Tables!$D$3:$D$10,Lookup_Tables!$E$3:$E$10)</f>
        <v>11000000</v>
      </c>
      <c r="O13" s="8"/>
      <c r="P13" s="8"/>
    </row>
    <row r="14" spans="1:16" x14ac:dyDescent="0.35">
      <c r="A14" s="16" t="s">
        <v>100</v>
      </c>
      <c r="B14" s="16" t="s">
        <v>101</v>
      </c>
      <c r="C14" s="16" t="s">
        <v>14</v>
      </c>
      <c r="D14" s="25">
        <v>40974</v>
      </c>
      <c r="E14" s="25">
        <v>30477</v>
      </c>
      <c r="F14" s="25">
        <v>41878</v>
      </c>
      <c r="G14" s="26">
        <v>4</v>
      </c>
      <c r="H14" s="16" t="s">
        <v>61</v>
      </c>
      <c r="I14" s="18">
        <v>113000</v>
      </c>
      <c r="J14" s="16" t="s">
        <v>38</v>
      </c>
      <c r="K14" s="16" t="s">
        <v>20</v>
      </c>
      <c r="L14" s="16" t="s">
        <v>99</v>
      </c>
      <c r="M14" s="16" t="str">
        <f>_xlfn.XLOOKUP(Clean_Data[[#This Row],[Manager ID]],Lookup_Tables!$A$3:$A$10,Lookup_Tables!$B$3:$B$10)</f>
        <v>Siddharth Roy</v>
      </c>
      <c r="N14" s="18">
        <f>_xlfn.XLOOKUP(Clean_Data[[#This Row],[Department]],Lookup_Tables!$D$3:$D$10,Lookup_Tables!$E$3:$E$10)</f>
        <v>8000000</v>
      </c>
      <c r="O14" s="8"/>
      <c r="P14" s="8"/>
    </row>
    <row r="15" spans="1:16" x14ac:dyDescent="0.35">
      <c r="A15" s="16" t="s">
        <v>105</v>
      </c>
      <c r="B15" s="16" t="s">
        <v>106</v>
      </c>
      <c r="C15" s="16" t="s">
        <v>112</v>
      </c>
      <c r="D15" s="25">
        <v>44163</v>
      </c>
      <c r="E15" s="25">
        <v>33132</v>
      </c>
      <c r="F15" s="25">
        <v>44929</v>
      </c>
      <c r="G15" s="26">
        <v>4</v>
      </c>
      <c r="H15" s="16" t="s">
        <v>61</v>
      </c>
      <c r="I15" s="18">
        <v>40000</v>
      </c>
      <c r="J15" s="16" t="s">
        <v>38</v>
      </c>
      <c r="K15" s="16" t="s">
        <v>20</v>
      </c>
      <c r="L15" s="16" t="s">
        <v>39</v>
      </c>
      <c r="M15" s="16" t="str">
        <f>_xlfn.XLOOKUP(Clean_Data[[#This Row],[Manager ID]],Lookup_Tables!$A$3:$A$10,Lookup_Tables!$B$3:$B$10)</f>
        <v>Siddharth Roy</v>
      </c>
      <c r="N15" s="18">
        <f>_xlfn.XLOOKUP(Clean_Data[[#This Row],[Department]],Lookup_Tables!$D$3:$D$10,Lookup_Tables!$E$3:$E$10)</f>
        <v>9500000</v>
      </c>
      <c r="O15" s="8"/>
      <c r="P15" s="8"/>
    </row>
    <row r="16" spans="1:16" x14ac:dyDescent="0.35">
      <c r="A16" s="16" t="s">
        <v>110</v>
      </c>
      <c r="B16" s="16" t="s">
        <v>111</v>
      </c>
      <c r="C16" s="16" t="s">
        <v>112</v>
      </c>
      <c r="D16" s="25">
        <v>43713</v>
      </c>
      <c r="E16" s="25">
        <v>30715</v>
      </c>
      <c r="F16" s="25">
        <v>44738</v>
      </c>
      <c r="G16" s="26">
        <v>5</v>
      </c>
      <c r="H16" s="16" t="s">
        <v>18</v>
      </c>
      <c r="I16" s="18">
        <v>150000</v>
      </c>
      <c r="J16" s="16" t="s">
        <v>38</v>
      </c>
      <c r="K16" s="16" t="s">
        <v>30</v>
      </c>
      <c r="L16" s="16" t="s">
        <v>21</v>
      </c>
      <c r="M16" s="16" t="str">
        <f>_xlfn.XLOOKUP(Clean_Data[[#This Row],[Manager ID]],Lookup_Tables!$A$3:$A$10,Lookup_Tables!$B$3:$B$10)</f>
        <v>Rajiv Khanna</v>
      </c>
      <c r="N16" s="18">
        <f>_xlfn.XLOOKUP(Clean_Data[[#This Row],[Department]],Lookup_Tables!$D$3:$D$10,Lookup_Tables!$E$3:$E$10)</f>
        <v>9500000</v>
      </c>
      <c r="O16" s="8"/>
      <c r="P16" s="8"/>
    </row>
    <row r="17" spans="1:14" x14ac:dyDescent="0.35">
      <c r="A17" s="16" t="s">
        <v>116</v>
      </c>
      <c r="B17" s="16" t="s">
        <v>117</v>
      </c>
      <c r="C17" s="16" t="s">
        <v>42</v>
      </c>
      <c r="D17" s="25">
        <v>41254</v>
      </c>
      <c r="E17" s="25">
        <v>28457</v>
      </c>
      <c r="F17" s="25">
        <v>41765</v>
      </c>
      <c r="G17" s="26">
        <v>5</v>
      </c>
      <c r="H17" s="16" t="s">
        <v>121</v>
      </c>
      <c r="I17" s="18">
        <v>83000</v>
      </c>
      <c r="J17" s="16" t="s">
        <v>38</v>
      </c>
      <c r="K17" s="16" t="s">
        <v>20</v>
      </c>
      <c r="L17" s="16" t="s">
        <v>31</v>
      </c>
      <c r="M17" s="16" t="str">
        <f>_xlfn.XLOOKUP(Clean_Data[[#This Row],[Manager ID]],Lookup_Tables!$A$3:$A$10,Lookup_Tables!$B$3:$B$10)</f>
        <v>Sunita Bose</v>
      </c>
      <c r="N17" s="18">
        <f>_xlfn.XLOOKUP(Clean_Data[[#This Row],[Department]],Lookup_Tables!$D$3:$D$10,Lookup_Tables!$E$3:$E$10)</f>
        <v>12000000</v>
      </c>
    </row>
    <row r="18" spans="1:14" x14ac:dyDescent="0.35">
      <c r="A18" s="16" t="s">
        <v>122</v>
      </c>
      <c r="B18" s="16" t="s">
        <v>123</v>
      </c>
      <c r="C18" s="16" t="s">
        <v>14</v>
      </c>
      <c r="D18" s="25">
        <v>40882</v>
      </c>
      <c r="E18" s="25">
        <v>25459</v>
      </c>
      <c r="F18" s="25">
        <v>42522</v>
      </c>
      <c r="G18" s="26">
        <v>2</v>
      </c>
      <c r="H18" s="16" t="s">
        <v>61</v>
      </c>
      <c r="I18" s="18">
        <v>57000</v>
      </c>
      <c r="J18" s="16" t="s">
        <v>38</v>
      </c>
      <c r="K18" s="16" t="s">
        <v>30</v>
      </c>
      <c r="L18" s="16" t="s">
        <v>80</v>
      </c>
      <c r="M18" s="16" t="str">
        <f>_xlfn.XLOOKUP(Clean_Data[[#This Row],[Manager ID]],Lookup_Tables!$A$3:$A$10,Lookup_Tables!$B$3:$B$10)</f>
        <v>Siddharth Roy</v>
      </c>
      <c r="N18" s="18">
        <f>_xlfn.XLOOKUP(Clean_Data[[#This Row],[Department]],Lookup_Tables!$D$3:$D$10,Lookup_Tables!$E$3:$E$10)</f>
        <v>8000000</v>
      </c>
    </row>
    <row r="19" spans="1:14" x14ac:dyDescent="0.35">
      <c r="A19" s="16" t="s">
        <v>127</v>
      </c>
      <c r="B19" s="16" t="s">
        <v>128</v>
      </c>
      <c r="C19" s="16" t="s">
        <v>24</v>
      </c>
      <c r="D19" s="25">
        <v>40447</v>
      </c>
      <c r="E19" s="25">
        <v>26261</v>
      </c>
      <c r="F19" s="25">
        <v>41074</v>
      </c>
      <c r="G19" s="26">
        <v>2</v>
      </c>
      <c r="H19" s="16" t="s">
        <v>28</v>
      </c>
      <c r="I19" s="18">
        <v>114000</v>
      </c>
      <c r="J19" s="16" t="s">
        <v>38</v>
      </c>
      <c r="K19" s="16" t="s">
        <v>30</v>
      </c>
      <c r="L19" s="16" t="s">
        <v>99</v>
      </c>
      <c r="M19" s="16" t="str">
        <f>_xlfn.XLOOKUP(Clean_Data[[#This Row],[Manager ID]],Lookup_Tables!$A$3:$A$10,Lookup_Tables!$B$3:$B$10)</f>
        <v>Geeta Pillai</v>
      </c>
      <c r="N19" s="18">
        <f>_xlfn.XLOOKUP(Clean_Data[[#This Row],[Department]],Lookup_Tables!$D$3:$D$10,Lookup_Tables!$E$3:$E$10)</f>
        <v>11000000</v>
      </c>
    </row>
    <row r="20" spans="1:14" x14ac:dyDescent="0.35">
      <c r="A20" s="16" t="s">
        <v>132</v>
      </c>
      <c r="B20" s="16" t="s">
        <v>133</v>
      </c>
      <c r="C20" s="16" t="s">
        <v>134</v>
      </c>
      <c r="D20" s="25">
        <v>43748</v>
      </c>
      <c r="E20" s="25">
        <v>31317</v>
      </c>
      <c r="F20" s="25">
        <v>43961</v>
      </c>
      <c r="G20" s="26">
        <v>3</v>
      </c>
      <c r="H20" s="16" t="s">
        <v>28</v>
      </c>
      <c r="I20" s="18">
        <v>94000</v>
      </c>
      <c r="J20" s="16" t="s">
        <v>38</v>
      </c>
      <c r="K20" s="16" t="s">
        <v>30</v>
      </c>
      <c r="L20" s="16" t="s">
        <v>46</v>
      </c>
      <c r="M20" s="16" t="str">
        <f>_xlfn.XLOOKUP(Clean_Data[[#This Row],[Manager ID]],Lookup_Tables!$A$3:$A$10,Lookup_Tables!$B$3:$B$10)</f>
        <v>Geeta Pillai</v>
      </c>
      <c r="N20" s="18">
        <f>_xlfn.XLOOKUP(Clean_Data[[#This Row],[Department]],Lookup_Tables!$D$3:$D$10,Lookup_Tables!$E$3:$E$10)</f>
        <v>4500000</v>
      </c>
    </row>
    <row r="21" spans="1:14" x14ac:dyDescent="0.35">
      <c r="A21" s="16" t="s">
        <v>138</v>
      </c>
      <c r="B21" s="16" t="s">
        <v>139</v>
      </c>
      <c r="C21" s="16" t="s">
        <v>145</v>
      </c>
      <c r="D21" s="25">
        <v>44048</v>
      </c>
      <c r="E21" s="25">
        <v>33664</v>
      </c>
      <c r="F21" s="25">
        <v>44302</v>
      </c>
      <c r="G21" s="26">
        <v>4</v>
      </c>
      <c r="H21" s="16" t="s">
        <v>121</v>
      </c>
      <c r="I21" s="18">
        <v>93000</v>
      </c>
      <c r="J21" s="16" t="s">
        <v>38</v>
      </c>
      <c r="K21" s="16" t="s">
        <v>30</v>
      </c>
      <c r="L21" s="16" t="s">
        <v>99</v>
      </c>
      <c r="M21" s="16" t="str">
        <f>_xlfn.XLOOKUP(Clean_Data[[#This Row],[Manager ID]],Lookup_Tables!$A$3:$A$10,Lookup_Tables!$B$3:$B$10)</f>
        <v>Sunita Bose</v>
      </c>
      <c r="N21" s="18">
        <f>_xlfn.XLOOKUP(Clean_Data[[#This Row],[Department]],Lookup_Tables!$D$3:$D$10,Lookup_Tables!$E$3:$E$10)</f>
        <v>6000000</v>
      </c>
    </row>
    <row r="22" spans="1:14" x14ac:dyDescent="0.35">
      <c r="A22" s="16" t="s">
        <v>143</v>
      </c>
      <c r="B22" s="16" t="s">
        <v>144</v>
      </c>
      <c r="C22" s="16" t="s">
        <v>145</v>
      </c>
      <c r="D22" s="25">
        <v>41260</v>
      </c>
      <c r="E22" s="25">
        <v>27777</v>
      </c>
      <c r="F22" s="25">
        <v>41685</v>
      </c>
      <c r="G22" s="26">
        <v>2</v>
      </c>
      <c r="H22" s="16" t="s">
        <v>68</v>
      </c>
      <c r="I22" s="18">
        <v>120000</v>
      </c>
      <c r="J22" s="16" t="s">
        <v>38</v>
      </c>
      <c r="K22" s="16" t="s">
        <v>30</v>
      </c>
      <c r="L22" s="16" t="s">
        <v>31</v>
      </c>
      <c r="M22" s="16" t="str">
        <f>_xlfn.XLOOKUP(Clean_Data[[#This Row],[Manager ID]],Lookup_Tables!$A$3:$A$10,Lookup_Tables!$B$3:$B$10)</f>
        <v>Divya Reddy</v>
      </c>
      <c r="N22" s="18">
        <f>_xlfn.XLOOKUP(Clean_Data[[#This Row],[Department]],Lookup_Tables!$D$3:$D$10,Lookup_Tables!$E$3:$E$10)</f>
        <v>6000000</v>
      </c>
    </row>
    <row r="23" spans="1:14" x14ac:dyDescent="0.35">
      <c r="A23" s="16" t="s">
        <v>149</v>
      </c>
      <c r="B23" s="16" t="s">
        <v>150</v>
      </c>
      <c r="C23" s="16" t="s">
        <v>49</v>
      </c>
      <c r="D23" s="25">
        <v>43930</v>
      </c>
      <c r="E23" s="25">
        <v>30735</v>
      </c>
      <c r="F23" s="25">
        <v>45025</v>
      </c>
      <c r="G23" s="26">
        <v>3</v>
      </c>
      <c r="H23" s="16" t="s">
        <v>121</v>
      </c>
      <c r="I23" s="18">
        <v>52000</v>
      </c>
      <c r="J23" s="16" t="s">
        <v>38</v>
      </c>
      <c r="K23" s="16" t="s">
        <v>20</v>
      </c>
      <c r="L23" s="16" t="s">
        <v>21</v>
      </c>
      <c r="M23" s="16" t="str">
        <f>_xlfn.XLOOKUP(Clean_Data[[#This Row],[Manager ID]],Lookup_Tables!$A$3:$A$10,Lookup_Tables!$B$3:$B$10)</f>
        <v>Sunita Bose</v>
      </c>
      <c r="N23" s="18">
        <f>_xlfn.XLOOKUP(Clean_Data[[#This Row],[Department]],Lookup_Tables!$D$3:$D$10,Lookup_Tables!$E$3:$E$10)</f>
        <v>3500000</v>
      </c>
    </row>
    <row r="24" spans="1:14" x14ac:dyDescent="0.35">
      <c r="A24" s="16" t="s">
        <v>155</v>
      </c>
      <c r="B24" s="16" t="s">
        <v>156</v>
      </c>
      <c r="C24" s="16" t="s">
        <v>24</v>
      </c>
      <c r="D24" s="25">
        <v>42747</v>
      </c>
      <c r="E24" s="25">
        <v>31621</v>
      </c>
      <c r="F24" s="25">
        <v>44463</v>
      </c>
      <c r="G24" s="26">
        <v>4</v>
      </c>
      <c r="H24" s="16" t="s">
        <v>86</v>
      </c>
      <c r="I24" s="18">
        <v>97000</v>
      </c>
      <c r="J24" s="16" t="s">
        <v>38</v>
      </c>
      <c r="K24" s="16" t="s">
        <v>20</v>
      </c>
      <c r="L24" s="16" t="s">
        <v>39</v>
      </c>
      <c r="M24" s="16" t="str">
        <f>_xlfn.XLOOKUP(Clean_Data[[#This Row],[Manager ID]],Lookup_Tables!$A$3:$A$10,Lookup_Tables!$B$3:$B$10)</f>
        <v>Preethi Nair</v>
      </c>
      <c r="N24" s="18">
        <f>_xlfn.XLOOKUP(Clean_Data[[#This Row],[Department]],Lookup_Tables!$D$3:$D$10,Lookup_Tables!$E$3:$E$10)</f>
        <v>11000000</v>
      </c>
    </row>
    <row r="25" spans="1:14" x14ac:dyDescent="0.35">
      <c r="A25" s="16" t="s">
        <v>160</v>
      </c>
      <c r="B25" s="16" t="s">
        <v>161</v>
      </c>
      <c r="C25" s="16" t="s">
        <v>42</v>
      </c>
      <c r="D25" s="25">
        <v>40861</v>
      </c>
      <c r="E25" s="25">
        <v>31265</v>
      </c>
      <c r="F25" s="25">
        <v>41042</v>
      </c>
      <c r="G25" s="26">
        <v>3</v>
      </c>
      <c r="H25" s="16" t="s">
        <v>68</v>
      </c>
      <c r="I25" s="18">
        <v>76000</v>
      </c>
      <c r="J25" s="16" t="s">
        <v>38</v>
      </c>
      <c r="K25" s="16" t="s">
        <v>30</v>
      </c>
      <c r="L25" s="16" t="s">
        <v>31</v>
      </c>
      <c r="M25" s="16" t="str">
        <f>_xlfn.XLOOKUP(Clean_Data[[#This Row],[Manager ID]],Lookup_Tables!$A$3:$A$10,Lookup_Tables!$B$3:$B$10)</f>
        <v>Divya Reddy</v>
      </c>
      <c r="N25" s="18">
        <f>_xlfn.XLOOKUP(Clean_Data[[#This Row],[Department]],Lookup_Tables!$D$3:$D$10,Lookup_Tables!$E$3:$E$10)</f>
        <v>12000000</v>
      </c>
    </row>
    <row r="26" spans="1:14" x14ac:dyDescent="0.35">
      <c r="A26" s="16" t="s">
        <v>165</v>
      </c>
      <c r="B26" s="16" t="s">
        <v>166</v>
      </c>
      <c r="C26" s="16" t="s">
        <v>42</v>
      </c>
      <c r="D26" s="25">
        <v>44569</v>
      </c>
      <c r="E26" s="25">
        <v>34354</v>
      </c>
      <c r="F26" s="25">
        <v>45021</v>
      </c>
      <c r="G26" s="26">
        <v>3</v>
      </c>
      <c r="H26" s="16" t="s">
        <v>121</v>
      </c>
      <c r="I26" s="18">
        <v>107000</v>
      </c>
      <c r="J26" s="16" t="s">
        <v>38</v>
      </c>
      <c r="K26" s="16" t="s">
        <v>20</v>
      </c>
      <c r="L26" s="16" t="s">
        <v>46</v>
      </c>
      <c r="M26" s="16" t="str">
        <f>_xlfn.XLOOKUP(Clean_Data[[#This Row],[Manager ID]],Lookup_Tables!$A$3:$A$10,Lookup_Tables!$B$3:$B$10)</f>
        <v>Sunita Bose</v>
      </c>
      <c r="N26" s="18">
        <f>_xlfn.XLOOKUP(Clean_Data[[#This Row],[Department]],Lookup_Tables!$D$3:$D$10,Lookup_Tables!$E$3:$E$10)</f>
        <v>12000000</v>
      </c>
    </row>
    <row r="27" spans="1:14" x14ac:dyDescent="0.35">
      <c r="A27" s="16" t="s">
        <v>170</v>
      </c>
      <c r="B27" s="16" t="s">
        <v>171</v>
      </c>
      <c r="C27" s="16" t="s">
        <v>24</v>
      </c>
      <c r="D27" s="25">
        <v>42563</v>
      </c>
      <c r="E27" s="25">
        <v>33900</v>
      </c>
      <c r="F27" s="25">
        <v>43154</v>
      </c>
      <c r="G27" s="26">
        <v>4</v>
      </c>
      <c r="H27" s="16" t="s">
        <v>121</v>
      </c>
      <c r="I27" s="18">
        <v>136000</v>
      </c>
      <c r="J27" s="16" t="s">
        <v>38</v>
      </c>
      <c r="K27" s="16" t="s">
        <v>20</v>
      </c>
      <c r="L27" s="16" t="s">
        <v>39</v>
      </c>
      <c r="M27" s="16" t="str">
        <f>_xlfn.XLOOKUP(Clean_Data[[#This Row],[Manager ID]],Lookup_Tables!$A$3:$A$10,Lookup_Tables!$B$3:$B$10)</f>
        <v>Sunita Bose</v>
      </c>
      <c r="N27" s="18">
        <f>_xlfn.XLOOKUP(Clean_Data[[#This Row],[Department]],Lookup_Tables!$D$3:$D$10,Lookup_Tables!$E$3:$E$10)</f>
        <v>11000000</v>
      </c>
    </row>
    <row r="28" spans="1:14" x14ac:dyDescent="0.35">
      <c r="A28" s="16" t="s">
        <v>176</v>
      </c>
      <c r="B28" s="16" t="s">
        <v>177</v>
      </c>
      <c r="C28" s="16" t="s">
        <v>134</v>
      </c>
      <c r="D28" s="25">
        <v>42453</v>
      </c>
      <c r="E28" s="25">
        <v>28744</v>
      </c>
      <c r="F28" s="25">
        <v>44464</v>
      </c>
      <c r="G28" s="26">
        <v>4</v>
      </c>
      <c r="H28" s="16" t="s">
        <v>53</v>
      </c>
      <c r="I28" s="18">
        <v>140000</v>
      </c>
      <c r="J28" s="16" t="s">
        <v>38</v>
      </c>
      <c r="K28" s="16" t="s">
        <v>30</v>
      </c>
      <c r="L28" s="16" t="s">
        <v>39</v>
      </c>
      <c r="M28" s="16" t="str">
        <f>_xlfn.XLOOKUP(Clean_Data[[#This Row],[Manager ID]],Lookup_Tables!$A$3:$A$10,Lookup_Tables!$B$3:$B$10)</f>
        <v>Manish Tiwari</v>
      </c>
      <c r="N28" s="18">
        <f>_xlfn.XLOOKUP(Clean_Data[[#This Row],[Department]],Lookup_Tables!$D$3:$D$10,Lookup_Tables!$E$3:$E$10)</f>
        <v>4500000</v>
      </c>
    </row>
    <row r="29" spans="1:14" x14ac:dyDescent="0.35">
      <c r="A29" s="16" t="s">
        <v>181</v>
      </c>
      <c r="B29" s="16" t="s">
        <v>182</v>
      </c>
      <c r="C29" s="16" t="s">
        <v>145</v>
      </c>
      <c r="D29" s="25">
        <v>42135</v>
      </c>
      <c r="E29" s="25">
        <v>31343</v>
      </c>
      <c r="F29" s="25">
        <v>43109</v>
      </c>
      <c r="G29" s="26">
        <v>4</v>
      </c>
      <c r="H29" s="16" t="s">
        <v>86</v>
      </c>
      <c r="I29" s="18">
        <v>45000</v>
      </c>
      <c r="J29" s="16" t="s">
        <v>38</v>
      </c>
      <c r="K29" s="16" t="s">
        <v>20</v>
      </c>
      <c r="L29" s="16" t="s">
        <v>99</v>
      </c>
      <c r="M29" s="16" t="str">
        <f>_xlfn.XLOOKUP(Clean_Data[[#This Row],[Manager ID]],Lookup_Tables!$A$3:$A$10,Lookup_Tables!$B$3:$B$10)</f>
        <v>Preethi Nair</v>
      </c>
      <c r="N29" s="18">
        <f>_xlfn.XLOOKUP(Clean_Data[[#This Row],[Department]],Lookup_Tables!$D$3:$D$10,Lookup_Tables!$E$3:$E$10)</f>
        <v>6000000</v>
      </c>
    </row>
    <row r="30" spans="1:14" x14ac:dyDescent="0.35">
      <c r="A30" s="16" t="s">
        <v>186</v>
      </c>
      <c r="B30" s="16" t="s">
        <v>187</v>
      </c>
      <c r="C30" s="16" t="s">
        <v>145</v>
      </c>
      <c r="D30" s="25">
        <v>41962</v>
      </c>
      <c r="E30" s="25">
        <v>29816</v>
      </c>
      <c r="F30" s="25">
        <v>43630</v>
      </c>
      <c r="G30" s="26">
        <v>5</v>
      </c>
      <c r="H30" s="16" t="s">
        <v>28</v>
      </c>
      <c r="I30" s="18">
        <v>80000</v>
      </c>
      <c r="J30" s="16" t="s">
        <v>38</v>
      </c>
      <c r="K30" s="16" t="s">
        <v>30</v>
      </c>
      <c r="L30" s="16" t="s">
        <v>39</v>
      </c>
      <c r="M30" s="16" t="str">
        <f>_xlfn.XLOOKUP(Clean_Data[[#This Row],[Manager ID]],Lookup_Tables!$A$3:$A$10,Lookup_Tables!$B$3:$B$10)</f>
        <v>Geeta Pillai</v>
      </c>
      <c r="N30" s="18">
        <f>_xlfn.XLOOKUP(Clean_Data[[#This Row],[Department]],Lookup_Tables!$D$3:$D$10,Lookup_Tables!$E$3:$E$10)</f>
        <v>6000000</v>
      </c>
    </row>
    <row r="31" spans="1:14" x14ac:dyDescent="0.35">
      <c r="A31" s="16" t="s">
        <v>191</v>
      </c>
      <c r="B31" s="16" t="s">
        <v>192</v>
      </c>
      <c r="C31" s="16" t="s">
        <v>14</v>
      </c>
      <c r="D31" s="25">
        <v>44494</v>
      </c>
      <c r="E31" s="25">
        <v>30599</v>
      </c>
      <c r="F31" s="25">
        <v>44661</v>
      </c>
      <c r="G31" s="26">
        <v>3</v>
      </c>
      <c r="H31" s="16" t="s">
        <v>92</v>
      </c>
      <c r="I31" s="18">
        <v>73000</v>
      </c>
      <c r="J31" s="16" t="s">
        <v>38</v>
      </c>
      <c r="K31" s="16" t="s">
        <v>20</v>
      </c>
      <c r="L31" s="16" t="s">
        <v>99</v>
      </c>
      <c r="M31" s="16" t="str">
        <f>_xlfn.XLOOKUP(Clean_Data[[#This Row],[Manager ID]],Lookup_Tables!$A$3:$A$10,Lookup_Tables!$B$3:$B$10)</f>
        <v>Anil Desai</v>
      </c>
      <c r="N31" s="18">
        <f>_xlfn.XLOOKUP(Clean_Data[[#This Row],[Department]],Lookup_Tables!$D$3:$D$10,Lookup_Tables!$E$3:$E$10)</f>
        <v>8000000</v>
      </c>
    </row>
    <row r="32" spans="1:14" x14ac:dyDescent="0.35">
      <c r="A32" s="16" t="s">
        <v>197</v>
      </c>
      <c r="B32" s="16" t="s">
        <v>198</v>
      </c>
      <c r="C32" s="16" t="s">
        <v>14</v>
      </c>
      <c r="D32" s="25">
        <v>42962</v>
      </c>
      <c r="E32" s="25">
        <v>31108</v>
      </c>
      <c r="F32" s="25">
        <v>44047</v>
      </c>
      <c r="G32" s="26">
        <v>4</v>
      </c>
      <c r="H32" s="16" t="s">
        <v>53</v>
      </c>
      <c r="I32" s="18">
        <v>97000</v>
      </c>
      <c r="J32" s="16" t="s">
        <v>38</v>
      </c>
      <c r="K32" s="16" t="s">
        <v>20</v>
      </c>
      <c r="L32" s="16" t="s">
        <v>55</v>
      </c>
      <c r="M32" s="16" t="str">
        <f>_xlfn.XLOOKUP(Clean_Data[[#This Row],[Manager ID]],Lookup_Tables!$A$3:$A$10,Lookup_Tables!$B$3:$B$10)</f>
        <v>Manish Tiwari</v>
      </c>
      <c r="N32" s="18">
        <f>_xlfn.XLOOKUP(Clean_Data[[#This Row],[Department]],Lookup_Tables!$D$3:$D$10,Lookup_Tables!$E$3:$E$10)</f>
        <v>8000000</v>
      </c>
    </row>
    <row r="33" spans="1:14" x14ac:dyDescent="0.35">
      <c r="A33" s="16" t="s">
        <v>202</v>
      </c>
      <c r="B33" s="16" t="s">
        <v>203</v>
      </c>
      <c r="C33" s="16" t="s">
        <v>14</v>
      </c>
      <c r="D33" s="25">
        <v>42957</v>
      </c>
      <c r="E33" s="25">
        <v>28316</v>
      </c>
      <c r="F33" s="25">
        <v>44602</v>
      </c>
      <c r="G33" s="26">
        <v>4</v>
      </c>
      <c r="H33" s="16" t="s">
        <v>121</v>
      </c>
      <c r="I33" s="18">
        <v>132000</v>
      </c>
      <c r="J33" s="16" t="s">
        <v>38</v>
      </c>
      <c r="K33" s="16" t="s">
        <v>20</v>
      </c>
      <c r="L33" s="16" t="s">
        <v>99</v>
      </c>
      <c r="M33" s="16" t="str">
        <f>_xlfn.XLOOKUP(Clean_Data[[#This Row],[Manager ID]],Lookup_Tables!$A$3:$A$10,Lookup_Tables!$B$3:$B$10)</f>
        <v>Sunita Bose</v>
      </c>
      <c r="N33" s="18">
        <f>_xlfn.XLOOKUP(Clean_Data[[#This Row],[Department]],Lookup_Tables!$D$3:$D$10,Lookup_Tables!$E$3:$E$10)</f>
        <v>8000000</v>
      </c>
    </row>
    <row r="34" spans="1:14" x14ac:dyDescent="0.35">
      <c r="A34" s="16" t="s">
        <v>207</v>
      </c>
      <c r="B34" s="16" t="s">
        <v>208</v>
      </c>
      <c r="C34" s="16" t="s">
        <v>14</v>
      </c>
      <c r="D34" s="25">
        <v>44339</v>
      </c>
      <c r="E34" s="25">
        <v>31100</v>
      </c>
      <c r="F34" s="25">
        <v>45072</v>
      </c>
      <c r="G34" s="26">
        <v>4</v>
      </c>
      <c r="H34" s="16" t="s">
        <v>86</v>
      </c>
      <c r="I34" s="18">
        <v>89000</v>
      </c>
      <c r="J34" s="16" t="s">
        <v>38</v>
      </c>
      <c r="K34" s="16" t="s">
        <v>20</v>
      </c>
      <c r="L34" s="16" t="s">
        <v>55</v>
      </c>
      <c r="M34" s="16" t="str">
        <f>_xlfn.XLOOKUP(Clean_Data[[#This Row],[Manager ID]],Lookup_Tables!$A$3:$A$10,Lookup_Tables!$B$3:$B$10)</f>
        <v>Preethi Nair</v>
      </c>
      <c r="N34" s="18">
        <f>_xlfn.XLOOKUP(Clean_Data[[#This Row],[Department]],Lookup_Tables!$D$3:$D$10,Lookup_Tables!$E$3:$E$10)</f>
        <v>8000000</v>
      </c>
    </row>
    <row r="35" spans="1:14" x14ac:dyDescent="0.35">
      <c r="A35" s="16" t="s">
        <v>212</v>
      </c>
      <c r="B35" s="16" t="s">
        <v>213</v>
      </c>
      <c r="C35" s="16" t="s">
        <v>49</v>
      </c>
      <c r="D35" s="25">
        <v>44339</v>
      </c>
      <c r="E35" s="25">
        <v>31914</v>
      </c>
      <c r="F35" s="25">
        <v>45153</v>
      </c>
      <c r="G35" s="26">
        <v>4</v>
      </c>
      <c r="H35" s="16" t="s">
        <v>18</v>
      </c>
      <c r="I35" s="18">
        <v>148000</v>
      </c>
      <c r="J35" s="16" t="s">
        <v>38</v>
      </c>
      <c r="K35" s="16" t="s">
        <v>30</v>
      </c>
      <c r="L35" s="16" t="s">
        <v>99</v>
      </c>
      <c r="M35" s="16" t="str">
        <f>_xlfn.XLOOKUP(Clean_Data[[#This Row],[Manager ID]],Lookup_Tables!$A$3:$A$10,Lookup_Tables!$B$3:$B$10)</f>
        <v>Rajiv Khanna</v>
      </c>
      <c r="N35" s="18">
        <f>_xlfn.XLOOKUP(Clean_Data[[#This Row],[Department]],Lookup_Tables!$D$3:$D$10,Lookup_Tables!$E$3:$E$10)</f>
        <v>3500000</v>
      </c>
    </row>
    <row r="36" spans="1:14" x14ac:dyDescent="0.35">
      <c r="A36" s="16" t="s">
        <v>218</v>
      </c>
      <c r="B36" s="16" t="s">
        <v>219</v>
      </c>
      <c r="C36" s="16" t="s">
        <v>134</v>
      </c>
      <c r="D36" s="25">
        <v>42999</v>
      </c>
      <c r="E36" s="25">
        <v>29712</v>
      </c>
      <c r="F36" s="25">
        <v>44763</v>
      </c>
      <c r="G36" s="26">
        <v>4</v>
      </c>
      <c r="H36" s="16" t="s">
        <v>121</v>
      </c>
      <c r="I36" s="18">
        <v>95000</v>
      </c>
      <c r="J36" s="16" t="s">
        <v>38</v>
      </c>
      <c r="K36" s="16" t="s">
        <v>30</v>
      </c>
      <c r="L36" s="16" t="s">
        <v>46</v>
      </c>
      <c r="M36" s="16" t="str">
        <f>_xlfn.XLOOKUP(Clean_Data[[#This Row],[Manager ID]],Lookup_Tables!$A$3:$A$10,Lookup_Tables!$B$3:$B$10)</f>
        <v>Sunita Bose</v>
      </c>
      <c r="N36" s="18">
        <f>_xlfn.XLOOKUP(Clean_Data[[#This Row],[Department]],Lookup_Tables!$D$3:$D$10,Lookup_Tables!$E$3:$E$10)</f>
        <v>4500000</v>
      </c>
    </row>
    <row r="37" spans="1:14" x14ac:dyDescent="0.35">
      <c r="A37" s="16" t="s">
        <v>223</v>
      </c>
      <c r="B37" s="16" t="s">
        <v>224</v>
      </c>
      <c r="C37" s="16" t="s">
        <v>112</v>
      </c>
      <c r="D37" s="25">
        <v>41794</v>
      </c>
      <c r="E37" s="25">
        <v>29491</v>
      </c>
      <c r="F37" s="25">
        <v>42336</v>
      </c>
      <c r="G37" s="26">
        <v>4</v>
      </c>
      <c r="H37" s="16" t="s">
        <v>53</v>
      </c>
      <c r="I37" s="18">
        <v>41000</v>
      </c>
      <c r="J37" s="16" t="s">
        <v>38</v>
      </c>
      <c r="K37" s="16" t="s">
        <v>20</v>
      </c>
      <c r="L37" s="16" t="s">
        <v>55</v>
      </c>
      <c r="M37" s="16" t="str">
        <f>_xlfn.XLOOKUP(Clean_Data[[#This Row],[Manager ID]],Lookup_Tables!$A$3:$A$10,Lookup_Tables!$B$3:$B$10)</f>
        <v>Manish Tiwari</v>
      </c>
      <c r="N37" s="18">
        <f>_xlfn.XLOOKUP(Clean_Data[[#This Row],[Department]],Lookup_Tables!$D$3:$D$10,Lookup_Tables!$E$3:$E$10)</f>
        <v>9500000</v>
      </c>
    </row>
    <row r="38" spans="1:14" x14ac:dyDescent="0.35">
      <c r="A38" s="16" t="s">
        <v>228</v>
      </c>
      <c r="B38" s="16" t="s">
        <v>229</v>
      </c>
      <c r="C38" s="16" t="s">
        <v>145</v>
      </c>
      <c r="D38" s="25">
        <v>44265</v>
      </c>
      <c r="E38" s="25">
        <v>29969</v>
      </c>
      <c r="F38" s="25">
        <v>44965</v>
      </c>
      <c r="G38" s="26">
        <v>5</v>
      </c>
      <c r="H38" s="16" t="s">
        <v>121</v>
      </c>
      <c r="I38" s="18">
        <v>94000</v>
      </c>
      <c r="J38" s="16" t="s">
        <v>38</v>
      </c>
      <c r="K38" s="16" t="s">
        <v>20</v>
      </c>
      <c r="L38" s="16" t="s">
        <v>99</v>
      </c>
      <c r="M38" s="16" t="str">
        <f>_xlfn.XLOOKUP(Clean_Data[[#This Row],[Manager ID]],Lookup_Tables!$A$3:$A$10,Lookup_Tables!$B$3:$B$10)</f>
        <v>Sunita Bose</v>
      </c>
      <c r="N38" s="18">
        <f>_xlfn.XLOOKUP(Clean_Data[[#This Row],[Department]],Lookup_Tables!$D$3:$D$10,Lookup_Tables!$E$3:$E$10)</f>
        <v>6000000</v>
      </c>
    </row>
    <row r="39" spans="1:14" x14ac:dyDescent="0.35">
      <c r="A39" s="16" t="s">
        <v>233</v>
      </c>
      <c r="B39" s="16" t="s">
        <v>234</v>
      </c>
      <c r="C39" s="16" t="s">
        <v>134</v>
      </c>
      <c r="D39" s="25">
        <v>40688</v>
      </c>
      <c r="E39" s="25">
        <v>27937</v>
      </c>
      <c r="F39" s="25">
        <v>42517</v>
      </c>
      <c r="G39" s="26">
        <v>1</v>
      </c>
      <c r="H39" s="16" t="s">
        <v>61</v>
      </c>
      <c r="I39" s="18">
        <v>142000</v>
      </c>
      <c r="J39" s="16" t="s">
        <v>38</v>
      </c>
      <c r="K39" s="16" t="s">
        <v>30</v>
      </c>
      <c r="L39" s="16" t="s">
        <v>31</v>
      </c>
      <c r="M39" s="16" t="str">
        <f>_xlfn.XLOOKUP(Clean_Data[[#This Row],[Manager ID]],Lookup_Tables!$A$3:$A$10,Lookup_Tables!$B$3:$B$10)</f>
        <v>Siddharth Roy</v>
      </c>
      <c r="N39" s="18">
        <f>_xlfn.XLOOKUP(Clean_Data[[#This Row],[Department]],Lookup_Tables!$D$3:$D$10,Lookup_Tables!$E$3:$E$10)</f>
        <v>4500000</v>
      </c>
    </row>
    <row r="40" spans="1:14" x14ac:dyDescent="0.35">
      <c r="A40" s="16" t="s">
        <v>238</v>
      </c>
      <c r="B40" s="16" t="s">
        <v>239</v>
      </c>
      <c r="C40" s="16" t="s">
        <v>145</v>
      </c>
      <c r="D40" s="25">
        <v>44599</v>
      </c>
      <c r="E40" s="25">
        <v>33223</v>
      </c>
      <c r="F40" s="25">
        <v>45129</v>
      </c>
      <c r="G40" s="26">
        <v>4</v>
      </c>
      <c r="H40" s="16" t="s">
        <v>92</v>
      </c>
      <c r="I40" s="18">
        <v>98000</v>
      </c>
      <c r="J40" s="16" t="s">
        <v>38</v>
      </c>
      <c r="K40" s="16" t="s">
        <v>20</v>
      </c>
      <c r="L40" s="16" t="s">
        <v>21</v>
      </c>
      <c r="M40" s="16" t="str">
        <f>_xlfn.XLOOKUP(Clean_Data[[#This Row],[Manager ID]],Lookup_Tables!$A$3:$A$10,Lookup_Tables!$B$3:$B$10)</f>
        <v>Anil Desai</v>
      </c>
      <c r="N40" s="18">
        <f>_xlfn.XLOOKUP(Clean_Data[[#This Row],[Department]],Lookup_Tables!$D$3:$D$10,Lookup_Tables!$E$3:$E$10)</f>
        <v>6000000</v>
      </c>
    </row>
    <row r="41" spans="1:14" x14ac:dyDescent="0.35">
      <c r="A41" s="16" t="s">
        <v>243</v>
      </c>
      <c r="B41" s="16" t="s">
        <v>244</v>
      </c>
      <c r="C41" s="16" t="s">
        <v>34</v>
      </c>
      <c r="D41" s="25">
        <v>43044</v>
      </c>
      <c r="E41" s="25">
        <v>28107</v>
      </c>
      <c r="F41" s="25">
        <v>43279</v>
      </c>
      <c r="G41" s="26">
        <v>4</v>
      </c>
      <c r="H41" s="16" t="s">
        <v>53</v>
      </c>
      <c r="I41" s="18">
        <v>75000</v>
      </c>
      <c r="J41" s="16" t="s">
        <v>38</v>
      </c>
      <c r="K41" s="16" t="s">
        <v>30</v>
      </c>
      <c r="L41" s="16" t="s">
        <v>31</v>
      </c>
      <c r="M41" s="16" t="str">
        <f>_xlfn.XLOOKUP(Clean_Data[[#This Row],[Manager ID]],Lookup_Tables!$A$3:$A$10,Lookup_Tables!$B$3:$B$10)</f>
        <v>Manish Tiwari</v>
      </c>
      <c r="N41" s="18">
        <f>_xlfn.XLOOKUP(Clean_Data[[#This Row],[Department]],Lookup_Tables!$D$3:$D$10,Lookup_Tables!$E$3:$E$10)</f>
        <v>18000000</v>
      </c>
    </row>
    <row r="42" spans="1:14" x14ac:dyDescent="0.35">
      <c r="A42" s="16" t="s">
        <v>249</v>
      </c>
      <c r="B42" s="16" t="s">
        <v>250</v>
      </c>
      <c r="C42" s="16" t="s">
        <v>34</v>
      </c>
      <c r="D42" s="25">
        <v>42817</v>
      </c>
      <c r="E42" s="25">
        <v>31444</v>
      </c>
      <c r="F42" s="25">
        <v>43840</v>
      </c>
      <c r="G42" s="26">
        <v>3</v>
      </c>
      <c r="H42" s="16" t="s">
        <v>53</v>
      </c>
      <c r="I42" s="18">
        <v>53000</v>
      </c>
      <c r="J42" s="16" t="s">
        <v>38</v>
      </c>
      <c r="K42" s="16" t="s">
        <v>20</v>
      </c>
      <c r="L42" s="16" t="s">
        <v>55</v>
      </c>
      <c r="M42" s="16" t="str">
        <f>_xlfn.XLOOKUP(Clean_Data[[#This Row],[Manager ID]],Lookup_Tables!$A$3:$A$10,Lookup_Tables!$B$3:$B$10)</f>
        <v>Manish Tiwari</v>
      </c>
      <c r="N42" s="18">
        <f>_xlfn.XLOOKUP(Clean_Data[[#This Row],[Department]],Lookup_Tables!$D$3:$D$10,Lookup_Tables!$E$3:$E$10)</f>
        <v>18000000</v>
      </c>
    </row>
    <row r="43" spans="1:14" x14ac:dyDescent="0.35">
      <c r="A43" s="16" t="s">
        <v>254</v>
      </c>
      <c r="B43" s="16" t="s">
        <v>255</v>
      </c>
      <c r="C43" s="16" t="s">
        <v>14</v>
      </c>
      <c r="D43" s="25">
        <v>42877</v>
      </c>
      <c r="E43" s="25">
        <v>34921</v>
      </c>
      <c r="F43" s="25">
        <v>44623</v>
      </c>
      <c r="G43" s="26">
        <v>3</v>
      </c>
      <c r="H43" s="16" t="s">
        <v>28</v>
      </c>
      <c r="I43" s="18">
        <v>110000</v>
      </c>
      <c r="J43" s="16" t="s">
        <v>38</v>
      </c>
      <c r="K43" s="16" t="s">
        <v>30</v>
      </c>
      <c r="L43" s="16" t="s">
        <v>99</v>
      </c>
      <c r="M43" s="16" t="str">
        <f>_xlfn.XLOOKUP(Clean_Data[[#This Row],[Manager ID]],Lookup_Tables!$A$3:$A$10,Lookup_Tables!$B$3:$B$10)</f>
        <v>Geeta Pillai</v>
      </c>
      <c r="N43" s="18">
        <f>_xlfn.XLOOKUP(Clean_Data[[#This Row],[Department]],Lookup_Tables!$D$3:$D$10,Lookup_Tables!$E$3:$E$10)</f>
        <v>8000000</v>
      </c>
    </row>
    <row r="44" spans="1:14" x14ac:dyDescent="0.35">
      <c r="A44" s="16" t="s">
        <v>259</v>
      </c>
      <c r="B44" s="16" t="s">
        <v>260</v>
      </c>
      <c r="C44" s="16" t="s">
        <v>42</v>
      </c>
      <c r="D44" s="25">
        <v>44021</v>
      </c>
      <c r="E44" s="25">
        <v>36096</v>
      </c>
      <c r="F44" s="25">
        <v>44493</v>
      </c>
      <c r="G44" s="26">
        <v>3</v>
      </c>
      <c r="H44" s="16" t="s">
        <v>61</v>
      </c>
      <c r="I44" s="18">
        <v>134000</v>
      </c>
      <c r="J44" s="16" t="s">
        <v>38</v>
      </c>
      <c r="K44" s="16" t="s">
        <v>20</v>
      </c>
      <c r="L44" s="16" t="s">
        <v>55</v>
      </c>
      <c r="M44" s="16" t="str">
        <f>_xlfn.XLOOKUP(Clean_Data[[#This Row],[Manager ID]],Lookup_Tables!$A$3:$A$10,Lookup_Tables!$B$3:$B$10)</f>
        <v>Siddharth Roy</v>
      </c>
      <c r="N44" s="18">
        <f>_xlfn.XLOOKUP(Clean_Data[[#This Row],[Department]],Lookup_Tables!$D$3:$D$10,Lookup_Tables!$E$3:$E$10)</f>
        <v>12000000</v>
      </c>
    </row>
    <row r="45" spans="1:14" x14ac:dyDescent="0.35">
      <c r="A45" s="16" t="s">
        <v>264</v>
      </c>
      <c r="B45" s="16" t="s">
        <v>265</v>
      </c>
      <c r="C45" s="16" t="s">
        <v>42</v>
      </c>
      <c r="D45" s="25">
        <v>43640</v>
      </c>
      <c r="E45" s="25">
        <v>34010</v>
      </c>
      <c r="F45" s="25">
        <v>44909</v>
      </c>
      <c r="G45" s="26">
        <v>3</v>
      </c>
      <c r="H45" s="16" t="s">
        <v>92</v>
      </c>
      <c r="I45" s="18">
        <v>135000</v>
      </c>
      <c r="J45" s="16" t="s">
        <v>38</v>
      </c>
      <c r="K45" s="16" t="s">
        <v>30</v>
      </c>
      <c r="L45" s="16" t="s">
        <v>55</v>
      </c>
      <c r="M45" s="16" t="str">
        <f>_xlfn.XLOOKUP(Clean_Data[[#This Row],[Manager ID]],Lookup_Tables!$A$3:$A$10,Lookup_Tables!$B$3:$B$10)</f>
        <v>Anil Desai</v>
      </c>
      <c r="N45" s="18">
        <f>_xlfn.XLOOKUP(Clean_Data[[#This Row],[Department]],Lookup_Tables!$D$3:$D$10,Lookup_Tables!$E$3:$E$10)</f>
        <v>12000000</v>
      </c>
    </row>
    <row r="46" spans="1:14" x14ac:dyDescent="0.35">
      <c r="A46" s="16" t="s">
        <v>269</v>
      </c>
      <c r="B46" s="16" t="s">
        <v>270</v>
      </c>
      <c r="C46" s="16" t="s">
        <v>134</v>
      </c>
      <c r="D46" s="25">
        <v>44679</v>
      </c>
      <c r="E46" s="25">
        <v>29211</v>
      </c>
      <c r="F46" s="25">
        <v>45181</v>
      </c>
      <c r="G46" s="26">
        <v>2</v>
      </c>
      <c r="H46" s="16" t="s">
        <v>53</v>
      </c>
      <c r="I46" s="18">
        <v>36000</v>
      </c>
      <c r="J46" s="16" t="s">
        <v>38</v>
      </c>
      <c r="K46" s="16" t="s">
        <v>30</v>
      </c>
      <c r="L46" s="16" t="s">
        <v>55</v>
      </c>
      <c r="M46" s="16" t="str">
        <f>_xlfn.XLOOKUP(Clean_Data[[#This Row],[Manager ID]],Lookup_Tables!$A$3:$A$10,Lookup_Tables!$B$3:$B$10)</f>
        <v>Manish Tiwari</v>
      </c>
      <c r="N46" s="18">
        <f>_xlfn.XLOOKUP(Clean_Data[[#This Row],[Department]],Lookup_Tables!$D$3:$D$10,Lookup_Tables!$E$3:$E$10)</f>
        <v>4500000</v>
      </c>
    </row>
    <row r="47" spans="1:14" x14ac:dyDescent="0.35">
      <c r="A47" s="16" t="s">
        <v>274</v>
      </c>
      <c r="B47" s="16" t="s">
        <v>275</v>
      </c>
      <c r="C47" s="16" t="s">
        <v>112</v>
      </c>
      <c r="D47" s="25">
        <v>43576</v>
      </c>
      <c r="E47" s="25">
        <v>35030</v>
      </c>
      <c r="F47" s="25">
        <v>45211</v>
      </c>
      <c r="G47" s="26">
        <v>4</v>
      </c>
      <c r="H47" s="16" t="s">
        <v>121</v>
      </c>
      <c r="I47" s="18">
        <v>52000</v>
      </c>
      <c r="J47" s="16" t="s">
        <v>38</v>
      </c>
      <c r="K47" s="16" t="s">
        <v>20</v>
      </c>
      <c r="L47" s="16" t="s">
        <v>80</v>
      </c>
      <c r="M47" s="16" t="str">
        <f>_xlfn.XLOOKUP(Clean_Data[[#This Row],[Manager ID]],Lookup_Tables!$A$3:$A$10,Lookup_Tables!$B$3:$B$10)</f>
        <v>Sunita Bose</v>
      </c>
      <c r="N47" s="18">
        <f>_xlfn.XLOOKUP(Clean_Data[[#This Row],[Department]],Lookup_Tables!$D$3:$D$10,Lookup_Tables!$E$3:$E$10)</f>
        <v>9500000</v>
      </c>
    </row>
    <row r="48" spans="1:14" x14ac:dyDescent="0.35">
      <c r="A48" s="16" t="s">
        <v>279</v>
      </c>
      <c r="B48" s="16" t="s">
        <v>280</v>
      </c>
      <c r="C48" s="16" t="s">
        <v>134</v>
      </c>
      <c r="D48" s="25">
        <v>42678</v>
      </c>
      <c r="E48" s="25">
        <v>29142</v>
      </c>
      <c r="F48" s="25">
        <v>43488</v>
      </c>
      <c r="G48" s="26">
        <v>3</v>
      </c>
      <c r="H48" s="16" t="s">
        <v>68</v>
      </c>
      <c r="I48" s="18">
        <v>91000</v>
      </c>
      <c r="J48" s="16" t="s">
        <v>38</v>
      </c>
      <c r="K48" s="16" t="s">
        <v>20</v>
      </c>
      <c r="L48" s="16" t="s">
        <v>31</v>
      </c>
      <c r="M48" s="16" t="str">
        <f>_xlfn.XLOOKUP(Clean_Data[[#This Row],[Manager ID]],Lookup_Tables!$A$3:$A$10,Lookup_Tables!$B$3:$B$10)</f>
        <v>Divya Reddy</v>
      </c>
      <c r="N48" s="18">
        <f>_xlfn.XLOOKUP(Clean_Data[[#This Row],[Department]],Lookup_Tables!$D$3:$D$10,Lookup_Tables!$E$3:$E$10)</f>
        <v>4500000</v>
      </c>
    </row>
    <row r="49" spans="1:14" x14ac:dyDescent="0.35">
      <c r="A49" s="16" t="s">
        <v>284</v>
      </c>
      <c r="B49" s="16" t="s">
        <v>285</v>
      </c>
      <c r="C49" s="16" t="s">
        <v>145</v>
      </c>
      <c r="D49" s="25">
        <v>44155</v>
      </c>
      <c r="E49" s="25">
        <v>35821</v>
      </c>
      <c r="F49" s="25">
        <v>45021</v>
      </c>
      <c r="G49" s="26">
        <v>4</v>
      </c>
      <c r="H49" s="16" t="s">
        <v>86</v>
      </c>
      <c r="I49" s="18">
        <v>43000</v>
      </c>
      <c r="J49" s="16" t="s">
        <v>38</v>
      </c>
      <c r="K49" s="16" t="s">
        <v>20</v>
      </c>
      <c r="L49" s="16" t="s">
        <v>55</v>
      </c>
      <c r="M49" s="16" t="str">
        <f>_xlfn.XLOOKUP(Clean_Data[[#This Row],[Manager ID]],Lookup_Tables!$A$3:$A$10,Lookup_Tables!$B$3:$B$10)</f>
        <v>Preethi Nair</v>
      </c>
      <c r="N49" s="18">
        <f>_xlfn.XLOOKUP(Clean_Data[[#This Row],[Department]],Lookup_Tables!$D$3:$D$10,Lookup_Tables!$E$3:$E$10)</f>
        <v>6000000</v>
      </c>
    </row>
    <row r="50" spans="1:14" x14ac:dyDescent="0.35">
      <c r="A50" s="16" t="s">
        <v>289</v>
      </c>
      <c r="B50" s="16" t="s">
        <v>290</v>
      </c>
      <c r="C50" s="16" t="s">
        <v>42</v>
      </c>
      <c r="D50" s="25">
        <v>41244</v>
      </c>
      <c r="E50" s="25">
        <v>30600</v>
      </c>
      <c r="F50" s="25">
        <v>41342</v>
      </c>
      <c r="G50" s="26">
        <v>4</v>
      </c>
      <c r="H50" s="16" t="s">
        <v>53</v>
      </c>
      <c r="I50" s="18">
        <v>102000</v>
      </c>
      <c r="J50" s="16" t="s">
        <v>38</v>
      </c>
      <c r="K50" s="16" t="s">
        <v>20</v>
      </c>
      <c r="L50" s="16" t="s">
        <v>99</v>
      </c>
      <c r="M50" s="16" t="str">
        <f>_xlfn.XLOOKUP(Clean_Data[[#This Row],[Manager ID]],Lookup_Tables!$A$3:$A$10,Lookup_Tables!$B$3:$B$10)</f>
        <v>Manish Tiwari</v>
      </c>
      <c r="N50" s="18">
        <f>_xlfn.XLOOKUP(Clean_Data[[#This Row],[Department]],Lookup_Tables!$D$3:$D$10,Lookup_Tables!$E$3:$E$10)</f>
        <v>12000000</v>
      </c>
    </row>
    <row r="51" spans="1:14" x14ac:dyDescent="0.35">
      <c r="A51" s="16" t="s">
        <v>294</v>
      </c>
      <c r="B51" s="16" t="s">
        <v>295</v>
      </c>
      <c r="C51" s="16" t="s">
        <v>42</v>
      </c>
      <c r="D51" s="25">
        <v>40418</v>
      </c>
      <c r="E51" s="25">
        <v>27963</v>
      </c>
      <c r="F51" s="25">
        <v>40778</v>
      </c>
      <c r="G51" s="26">
        <v>5</v>
      </c>
      <c r="H51" s="16" t="s">
        <v>121</v>
      </c>
      <c r="I51" s="18">
        <v>150000</v>
      </c>
      <c r="J51" s="16" t="s">
        <v>38</v>
      </c>
      <c r="K51" s="16" t="s">
        <v>20</v>
      </c>
      <c r="L51" s="16" t="s">
        <v>39</v>
      </c>
      <c r="M51" s="16" t="str">
        <f>_xlfn.XLOOKUP(Clean_Data[[#This Row],[Manager ID]],Lookup_Tables!$A$3:$A$10,Lookup_Tables!$B$3:$B$10)</f>
        <v>Sunita Bose</v>
      </c>
      <c r="N51" s="18">
        <f>_xlfn.XLOOKUP(Clean_Data[[#This Row],[Department]],Lookup_Tables!$D$3:$D$10,Lookup_Tables!$E$3:$E$10)</f>
        <v>12000000</v>
      </c>
    </row>
  </sheetData>
  <sheetProtection algorithmName="SHA-512" hashValue="mDRqG5vPuddStfK1AgaSWIixiqFDGncWGknxWp3Z2xKPEVhSE/yBiV/SPeSecYXAVpnn6TiIdbNhS0mQeWSeDQ==" saltValue="ba4fiYgpgqW7rj9ISafdSA=="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2:B43"/>
  <sheetViews>
    <sheetView topLeftCell="A10" workbookViewId="0">
      <selection activeCell="A41" sqref="A41"/>
    </sheetView>
  </sheetViews>
  <sheetFormatPr defaultRowHeight="14.5" x14ac:dyDescent="0.35"/>
  <cols>
    <col min="1" max="1" width="12.36328125" customWidth="1"/>
    <col min="2" max="2" width="14.6328125" customWidth="1"/>
    <col min="3" max="3" width="11" bestFit="1" customWidth="1"/>
    <col min="4" max="4" width="10.1796875" bestFit="1" customWidth="1"/>
    <col min="5" max="6" width="12.54296875" bestFit="1" customWidth="1"/>
    <col min="7" max="7" width="10.54296875" bestFit="1" customWidth="1"/>
    <col min="8" max="8" width="10.7265625" bestFit="1" customWidth="1"/>
  </cols>
  <sheetData>
    <row r="2" spans="1:2" x14ac:dyDescent="0.35">
      <c r="A2" s="48" t="s">
        <v>353</v>
      </c>
      <c r="B2" t="s">
        <v>360</v>
      </c>
    </row>
    <row r="3" spans="1:2" x14ac:dyDescent="0.35">
      <c r="A3" s="49" t="s">
        <v>312</v>
      </c>
      <c r="B3" s="26">
        <v>56.625</v>
      </c>
    </row>
    <row r="4" spans="1:2" x14ac:dyDescent="0.35">
      <c r="A4" s="49" t="s">
        <v>317</v>
      </c>
      <c r="B4" s="26">
        <v>62.024999999999999</v>
      </c>
    </row>
    <row r="5" spans="1:2" x14ac:dyDescent="0.35">
      <c r="A5" s="49" t="s">
        <v>315</v>
      </c>
      <c r="B5" s="26">
        <v>57.01428571428572</v>
      </c>
    </row>
    <row r="6" spans="1:2" x14ac:dyDescent="0.35">
      <c r="A6" s="49" t="s">
        <v>316</v>
      </c>
      <c r="B6" s="26">
        <v>56.849999999999994</v>
      </c>
    </row>
    <row r="7" spans="1:2" x14ac:dyDescent="0.35">
      <c r="A7" s="49" t="s">
        <v>313</v>
      </c>
      <c r="B7" s="26">
        <v>53.52</v>
      </c>
    </row>
    <row r="8" spans="1:2" x14ac:dyDescent="0.35">
      <c r="A8" s="49" t="s">
        <v>310</v>
      </c>
      <c r="B8" s="26">
        <v>48.22</v>
      </c>
    </row>
    <row r="9" spans="1:2" x14ac:dyDescent="0.35">
      <c r="A9" s="49" t="s">
        <v>314</v>
      </c>
      <c r="B9" s="26">
        <v>56.557142857142864</v>
      </c>
    </row>
    <row r="10" spans="1:2" x14ac:dyDescent="0.35">
      <c r="A10" s="49" t="s">
        <v>311</v>
      </c>
      <c r="B10" s="26">
        <v>52.370000000000005</v>
      </c>
    </row>
    <row r="11" spans="1:2" x14ac:dyDescent="0.35">
      <c r="A11" s="49" t="s">
        <v>354</v>
      </c>
      <c r="B11" s="26">
        <v>55.135999999999989</v>
      </c>
    </row>
    <row r="13" spans="1:2" x14ac:dyDescent="0.35">
      <c r="A13" s="48" t="s">
        <v>353</v>
      </c>
      <c r="B13" t="s">
        <v>360</v>
      </c>
    </row>
    <row r="14" spans="1:2" x14ac:dyDescent="0.35">
      <c r="A14" s="49" t="s">
        <v>34</v>
      </c>
      <c r="B14" s="26">
        <v>58.524999999999999</v>
      </c>
    </row>
    <row r="15" spans="1:2" x14ac:dyDescent="0.35">
      <c r="A15" s="49" t="s">
        <v>145</v>
      </c>
      <c r="B15" s="26">
        <v>55.24285714285714</v>
      </c>
    </row>
    <row r="16" spans="1:2" x14ac:dyDescent="0.35">
      <c r="A16" s="49" t="s">
        <v>134</v>
      </c>
      <c r="B16" s="26">
        <v>60.316666666666663</v>
      </c>
    </row>
    <row r="17" spans="1:2" x14ac:dyDescent="0.35">
      <c r="A17" s="49" t="s">
        <v>24</v>
      </c>
      <c r="B17" s="26">
        <v>56.283333333333339</v>
      </c>
    </row>
    <row r="18" spans="1:2" x14ac:dyDescent="0.35">
      <c r="A18" s="49" t="s">
        <v>49</v>
      </c>
      <c r="B18" s="26">
        <v>47.6</v>
      </c>
    </row>
    <row r="19" spans="1:2" x14ac:dyDescent="0.35">
      <c r="A19" s="49" t="s">
        <v>14</v>
      </c>
      <c r="B19" s="26">
        <v>57.477777777777789</v>
      </c>
    </row>
    <row r="20" spans="1:2" x14ac:dyDescent="0.35">
      <c r="A20" s="49" t="s">
        <v>42</v>
      </c>
      <c r="B20" s="26">
        <v>54</v>
      </c>
    </row>
    <row r="21" spans="1:2" x14ac:dyDescent="0.35">
      <c r="A21" s="49" t="s">
        <v>112</v>
      </c>
      <c r="B21" s="26">
        <v>48.774999999999999</v>
      </c>
    </row>
    <row r="22" spans="1:2" x14ac:dyDescent="0.35">
      <c r="A22" s="49" t="s">
        <v>354</v>
      </c>
      <c r="B22" s="26">
        <v>55.135999999999989</v>
      </c>
    </row>
    <row r="24" spans="1:2" x14ac:dyDescent="0.35">
      <c r="A24" s="48" t="s">
        <v>353</v>
      </c>
      <c r="B24" t="s">
        <v>355</v>
      </c>
    </row>
    <row r="25" spans="1:2" x14ac:dyDescent="0.35">
      <c r="A25" s="49" t="s">
        <v>198</v>
      </c>
      <c r="B25" s="26">
        <v>62.6</v>
      </c>
    </row>
    <row r="26" spans="1:2" x14ac:dyDescent="0.35">
      <c r="A26" s="49" t="s">
        <v>234</v>
      </c>
      <c r="B26" s="26">
        <v>65</v>
      </c>
    </row>
    <row r="27" spans="1:2" x14ac:dyDescent="0.35">
      <c r="A27" s="49" t="s">
        <v>139</v>
      </c>
      <c r="B27" s="26">
        <v>69.599999999999994</v>
      </c>
    </row>
    <row r="28" spans="1:2" x14ac:dyDescent="0.35">
      <c r="A28" s="49" t="s">
        <v>133</v>
      </c>
      <c r="B28" s="26">
        <v>73.5</v>
      </c>
    </row>
    <row r="29" spans="1:2" x14ac:dyDescent="0.35">
      <c r="A29" s="49" t="s">
        <v>144</v>
      </c>
      <c r="B29" s="26">
        <v>63.4</v>
      </c>
    </row>
    <row r="30" spans="1:2" x14ac:dyDescent="0.35">
      <c r="A30" s="49" t="s">
        <v>250</v>
      </c>
      <c r="B30" s="26">
        <v>66.5</v>
      </c>
    </row>
    <row r="31" spans="1:2" x14ac:dyDescent="0.35">
      <c r="A31" s="49" t="s">
        <v>244</v>
      </c>
      <c r="B31" s="26">
        <v>62.6</v>
      </c>
    </row>
    <row r="32" spans="1:2" x14ac:dyDescent="0.35">
      <c r="A32" s="49" t="s">
        <v>192</v>
      </c>
      <c r="B32" s="26">
        <v>70.2</v>
      </c>
    </row>
    <row r="33" spans="1:2" x14ac:dyDescent="0.35">
      <c r="A33" s="49" t="s">
        <v>64</v>
      </c>
      <c r="B33" s="26">
        <v>63.4</v>
      </c>
    </row>
    <row r="34" spans="1:2" x14ac:dyDescent="0.35">
      <c r="A34" s="49" t="s">
        <v>280</v>
      </c>
      <c r="B34" s="26">
        <v>66.5</v>
      </c>
    </row>
    <row r="35" spans="1:2" x14ac:dyDescent="0.35">
      <c r="A35" s="49" t="s">
        <v>260</v>
      </c>
      <c r="B35" s="26">
        <v>67.8</v>
      </c>
    </row>
    <row r="36" spans="1:2" x14ac:dyDescent="0.35">
      <c r="A36" s="49" t="s">
        <v>354</v>
      </c>
      <c r="B36" s="26">
        <v>73.5</v>
      </c>
    </row>
    <row r="39" spans="1:2" x14ac:dyDescent="0.35">
      <c r="A39" s="48" t="s">
        <v>353</v>
      </c>
      <c r="B39" t="s">
        <v>359</v>
      </c>
    </row>
    <row r="40" spans="1:2" x14ac:dyDescent="0.35">
      <c r="A40" s="49" t="s">
        <v>356</v>
      </c>
      <c r="B40" s="16">
        <v>2</v>
      </c>
    </row>
    <row r="41" spans="1:2" x14ac:dyDescent="0.35">
      <c r="A41" s="49" t="s">
        <v>357</v>
      </c>
      <c r="B41" s="16">
        <v>6</v>
      </c>
    </row>
    <row r="42" spans="1:2" x14ac:dyDescent="0.35">
      <c r="A42" s="49" t="s">
        <v>358</v>
      </c>
      <c r="B42" s="16">
        <v>42</v>
      </c>
    </row>
    <row r="43" spans="1:2" x14ac:dyDescent="0.35">
      <c r="A43" s="49" t="s">
        <v>354</v>
      </c>
      <c r="B43" s="16">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O82"/>
  <sheetViews>
    <sheetView zoomScale="80" zoomScaleNormal="80" workbookViewId="0">
      <selection activeCell="A5" sqref="A5"/>
    </sheetView>
  </sheetViews>
  <sheetFormatPr defaultRowHeight="14.5" x14ac:dyDescent="0.35"/>
  <cols>
    <col min="1" max="1" width="23.81640625" bestFit="1" customWidth="1"/>
    <col min="2" max="2" width="18.36328125" bestFit="1" customWidth="1"/>
    <col min="3" max="3" width="14.08984375" customWidth="1"/>
    <col min="4" max="4" width="16.90625" customWidth="1"/>
    <col min="5" max="5" width="12.54296875" customWidth="1"/>
    <col min="7" max="7" width="11.36328125" customWidth="1"/>
    <col min="8" max="8" width="16.36328125" customWidth="1"/>
    <col min="9" max="9" width="12.90625" customWidth="1"/>
    <col min="10" max="10" width="14.7265625" customWidth="1"/>
    <col min="11" max="11" width="18.54296875" customWidth="1"/>
    <col min="12" max="13" width="12.08984375" customWidth="1"/>
    <col min="14" max="14" width="11.7265625" customWidth="1"/>
    <col min="15" max="15" width="7.90625" customWidth="1"/>
  </cols>
  <sheetData>
    <row r="1" spans="1:15" ht="31.5" customHeight="1" x14ac:dyDescent="0.35">
      <c r="A1" s="52" t="s">
        <v>327</v>
      </c>
      <c r="B1" s="52"/>
      <c r="C1" s="52"/>
      <c r="D1" s="52"/>
      <c r="E1" s="52"/>
    </row>
    <row r="2" spans="1:15" x14ac:dyDescent="0.35">
      <c r="A2" s="31" t="s">
        <v>320</v>
      </c>
      <c r="B2" s="47">
        <v>0.35</v>
      </c>
      <c r="C2" s="23" t="s">
        <v>325</v>
      </c>
      <c r="D2" s="23"/>
      <c r="E2" s="23"/>
      <c r="F2" s="22"/>
    </row>
    <row r="3" spans="1:15" x14ac:dyDescent="0.35">
      <c r="A3" s="31" t="s">
        <v>321</v>
      </c>
      <c r="B3" s="47">
        <v>0.4</v>
      </c>
      <c r="C3" s="23" t="s">
        <v>326</v>
      </c>
      <c r="D3" s="23"/>
      <c r="E3" s="23"/>
      <c r="F3" s="22"/>
    </row>
    <row r="4" spans="1:15" x14ac:dyDescent="0.35">
      <c r="A4" s="31" t="s">
        <v>322</v>
      </c>
      <c r="B4" s="47">
        <v>0.25</v>
      </c>
      <c r="C4" s="23" t="s">
        <v>324</v>
      </c>
      <c r="D4" s="23"/>
      <c r="E4" s="23"/>
      <c r="F4" s="22"/>
    </row>
    <row r="5" spans="1:15" x14ac:dyDescent="0.35">
      <c r="A5" s="65" t="s">
        <v>323</v>
      </c>
      <c r="B5" s="21">
        <v>1</v>
      </c>
    </row>
    <row r="7" spans="1:15" s="24" customFormat="1" ht="15.5" x14ac:dyDescent="0.35">
      <c r="A7" s="27" t="s">
        <v>328</v>
      </c>
      <c r="B7" s="28" t="s">
        <v>329</v>
      </c>
      <c r="C7" s="28" t="s">
        <v>2</v>
      </c>
      <c r="D7" s="28" t="s">
        <v>308</v>
      </c>
      <c r="E7" s="28" t="s">
        <v>335</v>
      </c>
      <c r="F7" s="28" t="s">
        <v>330</v>
      </c>
      <c r="G7" s="28" t="s">
        <v>331</v>
      </c>
      <c r="H7" s="28" t="s">
        <v>340</v>
      </c>
      <c r="I7" s="28" t="s">
        <v>336</v>
      </c>
      <c r="J7" s="28" t="s">
        <v>333</v>
      </c>
      <c r="K7" s="28" t="s">
        <v>334</v>
      </c>
      <c r="L7" s="28" t="s">
        <v>337</v>
      </c>
      <c r="M7" s="28" t="s">
        <v>338</v>
      </c>
      <c r="N7" s="28" t="s">
        <v>339</v>
      </c>
      <c r="O7" s="28" t="s">
        <v>350</v>
      </c>
    </row>
    <row r="8" spans="1:15" x14ac:dyDescent="0.35">
      <c r="A8" s="20" t="str">
        <f>Clean_Data!A2</f>
        <v>EMP2824</v>
      </c>
      <c r="B8" s="20" t="str">
        <f>Clean_Data!B2</f>
        <v>Priya Trivedi</v>
      </c>
      <c r="C8" s="20" t="str">
        <f>Clean_Data!C2</f>
        <v>Marketing</v>
      </c>
      <c r="D8" s="20" t="str">
        <f>Clean_Data!M2</f>
        <v>Rajiv Khanna</v>
      </c>
      <c r="E8" s="20">
        <f ca="1">DATEDIF(INDEX(Clean_Data[Hire Date],MATCH(Risk_Score!B8,Clean_Data[Full Name],0)),TODAY(),"Y")</f>
        <v>13</v>
      </c>
      <c r="F8" s="20">
        <f ca="1">DATEDIF(Clean_Data!E2, TODAY(), "Y")</f>
        <v>58</v>
      </c>
      <c r="G8" s="20" t="str">
        <f ca="1">IF(F8 &lt; 30, "Under 30", IF(F8&lt; 40, "30-39", IF(F8&lt; 50, "40-49", "50+") ) )</f>
        <v>50+</v>
      </c>
      <c r="H8" s="20">
        <f ca="1">DATEDIF(Clean_Data!F2,TODAY(), "Y")</f>
        <v>8</v>
      </c>
      <c r="I8" s="29">
        <f>Clean_Data!G2</f>
        <v>3</v>
      </c>
      <c r="J8" s="29">
        <f ca="1">MAX(0,(MIN(100,(15-E8)/15*100)))</f>
        <v>13.333333333333334</v>
      </c>
      <c r="K8" s="29">
        <f ca="1">MIN(100, H8/5*100)</f>
        <v>100</v>
      </c>
      <c r="L8" s="20">
        <f>(5-I8)/4*100</f>
        <v>50</v>
      </c>
      <c r="M8" s="30">
        <f ca="1">ROUND($B$2 *J8 + $B$3 *K8 + $B$4 *L8, 1)</f>
        <v>57.2</v>
      </c>
      <c r="N8" s="20" t="str">
        <f ca="1">IF(M8 &gt;=70, "High Risk",  IF(M8 &gt;= 45, "Medium Risk", "Low Risk"))</f>
        <v>Medium Risk</v>
      </c>
      <c r="O8" s="26">
        <f ca="1">RANK(M8, $M$8:$M$57, 0) + COUNTIF($M$8:M8, M8) - 1</f>
        <v>22</v>
      </c>
    </row>
    <row r="9" spans="1:15" x14ac:dyDescent="0.35">
      <c r="A9" s="20" t="str">
        <f>Clean_Data!A3</f>
        <v>EMP1106</v>
      </c>
      <c r="B9" s="20" t="str">
        <f>Clean_Data!B3</f>
        <v>Kapil Pandey</v>
      </c>
      <c r="C9" s="20" t="str">
        <f>Clean_Data!C3</f>
        <v>IT</v>
      </c>
      <c r="D9" s="20" t="str">
        <f>Clean_Data!M3</f>
        <v>Geeta Pillai</v>
      </c>
      <c r="E9" s="20">
        <f ca="1">DATEDIF(INDEX(Clean_Data[Hire Date],MATCH(Risk_Score!B9,Clean_Data[Full Name],0)),TODAY(),"Y")</f>
        <v>11</v>
      </c>
      <c r="F9" s="20">
        <f ca="1">DATEDIF(Clean_Data!E3, TODAY(), "Y")</f>
        <v>38</v>
      </c>
      <c r="G9" s="20" t="str">
        <f t="shared" ref="G9:G57" ca="1" si="0">IF(F9 &lt; 30, "Under 30", IF(F9&lt; 40, "30-39", IF(F9&lt; 50, "40-49", "50+") ) )</f>
        <v>30-39</v>
      </c>
      <c r="H9" s="20">
        <f ca="1">DATEDIF(Clean_Data!F3,TODAY(), "Y")</f>
        <v>10</v>
      </c>
      <c r="I9" s="29">
        <f>Clean_Data!G3</f>
        <v>3</v>
      </c>
      <c r="J9" s="29">
        <f t="shared" ref="J9:J57" ca="1" si="1">MAX(0,(MIN(100,(15-E9)/15*100)))</f>
        <v>26.666666666666668</v>
      </c>
      <c r="K9" s="29">
        <f t="shared" ref="K9:K57" ca="1" si="2">MIN(100, H9/5*100)</f>
        <v>100</v>
      </c>
      <c r="L9" s="20">
        <f t="shared" ref="L9:L57" si="3">(5-I9)/4*100</f>
        <v>50</v>
      </c>
      <c r="M9" s="30">
        <f t="shared" ref="M9:M57" ca="1" si="4">ROUND($B$2 *J9 + $B$3 *K9 + $B$4 *L9, 1)</f>
        <v>61.8</v>
      </c>
      <c r="N9" s="20" t="str">
        <f t="shared" ref="N9:N57" ca="1" si="5">IF(M9 &gt;=70, "High Risk",  IF(M9 &gt;= 45, "Medium Risk", "Low Risk"))</f>
        <v>Medium Risk</v>
      </c>
      <c r="O9" s="26">
        <f ca="1">RANK(M9, $M$8:$M$57, 0) + COUNTIF($M$8:M9, M9) - 1</f>
        <v>13</v>
      </c>
    </row>
    <row r="10" spans="1:15" x14ac:dyDescent="0.35">
      <c r="A10" s="20" t="str">
        <f>Clean_Data!A4</f>
        <v>EMP6925</v>
      </c>
      <c r="B10" s="20" t="str">
        <f>Clean_Data!B4</f>
        <v>Pranav Agarwal</v>
      </c>
      <c r="C10" s="20" t="str">
        <f>Clean_Data!C4</f>
        <v>Engineering</v>
      </c>
      <c r="D10" s="20" t="str">
        <f>Clean_Data!M4</f>
        <v>Geeta Pillai</v>
      </c>
      <c r="E10" s="20">
        <f ca="1">DATEDIF(INDEX(Clean_Data[Hire Date],MATCH(Risk_Score!B10,Clean_Data[Full Name],0)),TODAY(),"Y")</f>
        <v>15</v>
      </c>
      <c r="F10" s="20">
        <f ca="1">DATEDIF(Clean_Data!E4, TODAY(), "Y")</f>
        <v>47</v>
      </c>
      <c r="G10" s="20" t="str">
        <f t="shared" ca="1" si="0"/>
        <v>40-49</v>
      </c>
      <c r="H10" s="20">
        <f ca="1">DATEDIF(Clean_Data!F4,TODAY(), "Y")</f>
        <v>14</v>
      </c>
      <c r="I10" s="29">
        <f>Clean_Data!G4</f>
        <v>3</v>
      </c>
      <c r="J10" s="29">
        <f t="shared" ca="1" si="1"/>
        <v>0</v>
      </c>
      <c r="K10" s="29">
        <f t="shared" ca="1" si="2"/>
        <v>100</v>
      </c>
      <c r="L10" s="20">
        <f t="shared" si="3"/>
        <v>50</v>
      </c>
      <c r="M10" s="30">
        <f t="shared" ca="1" si="4"/>
        <v>52.5</v>
      </c>
      <c r="N10" s="20" t="str">
        <f t="shared" ca="1" si="5"/>
        <v>Medium Risk</v>
      </c>
      <c r="O10" s="26">
        <f ca="1">RANK(M10, $M$8:$M$57, 0) + COUNTIF($M$8:M10, M10) - 1</f>
        <v>30</v>
      </c>
    </row>
    <row r="11" spans="1:15" x14ac:dyDescent="0.35">
      <c r="A11" s="20" t="str">
        <f>Clean_Data!A5</f>
        <v>EMP4598</v>
      </c>
      <c r="B11" s="20" t="str">
        <f>Clean_Data!B5</f>
        <v>Geeta Goel</v>
      </c>
      <c r="C11" s="20" t="str">
        <f>Clean_Data!C5</f>
        <v>Sales</v>
      </c>
      <c r="D11" s="20" t="str">
        <f>Clean_Data!M5</f>
        <v>Geeta Pillai</v>
      </c>
      <c r="E11" s="20">
        <f ca="1">DATEDIF(INDEX(Clean_Data[Hire Date],MATCH(Risk_Score!B11,Clean_Data[Full Name],0)),TODAY(),"Y")</f>
        <v>13</v>
      </c>
      <c r="F11" s="20">
        <f ca="1">DATEDIF(Clean_Data!E5, TODAY(), "Y")</f>
        <v>44</v>
      </c>
      <c r="G11" s="20" t="str">
        <f t="shared" ca="1" si="0"/>
        <v>40-49</v>
      </c>
      <c r="H11" s="20">
        <f ca="1">DATEDIF(Clean_Data!F5,TODAY(), "Y")</f>
        <v>12</v>
      </c>
      <c r="I11" s="29">
        <f>Clean_Data!G5</f>
        <v>5</v>
      </c>
      <c r="J11" s="29">
        <f t="shared" ca="1" si="1"/>
        <v>13.333333333333334</v>
      </c>
      <c r="K11" s="29">
        <f t="shared" ca="1" si="2"/>
        <v>100</v>
      </c>
      <c r="L11" s="20">
        <f t="shared" si="3"/>
        <v>0</v>
      </c>
      <c r="M11" s="30">
        <f t="shared" ca="1" si="4"/>
        <v>44.7</v>
      </c>
      <c r="N11" s="20" t="str">
        <f t="shared" ca="1" si="5"/>
        <v>Low Risk</v>
      </c>
      <c r="O11" s="26">
        <f ca="1">RANK(M11, $M$8:$M$57, 0) + COUNTIF($M$8:M11, M11) - 1</f>
        <v>45</v>
      </c>
    </row>
    <row r="12" spans="1:15" x14ac:dyDescent="0.35">
      <c r="A12" s="20" t="str">
        <f>Clean_Data!A6</f>
        <v>EMP6930</v>
      </c>
      <c r="B12" s="20" t="str">
        <f>Clean_Data!B6</f>
        <v>Suresh Mishra</v>
      </c>
      <c r="C12" s="20" t="str">
        <f>Clean_Data!C6</f>
        <v>Legal</v>
      </c>
      <c r="D12" s="20" t="str">
        <f>Clean_Data!M6</f>
        <v>Manish Tiwari</v>
      </c>
      <c r="E12" s="20">
        <f ca="1">DATEDIF(INDEX(Clean_Data[Hire Date],MATCH(Risk_Score!B12,Clean_Data[Full Name],0)),TODAY(),"Y")</f>
        <v>15</v>
      </c>
      <c r="F12" s="20">
        <f ca="1">DATEDIF(Clean_Data!E6, TODAY(), "Y")</f>
        <v>40</v>
      </c>
      <c r="G12" s="20" t="str">
        <f t="shared" ca="1" si="0"/>
        <v>40-49</v>
      </c>
      <c r="H12" s="20">
        <f ca="1">DATEDIF(Clean_Data!F6,TODAY(), "Y")</f>
        <v>12</v>
      </c>
      <c r="I12" s="29">
        <f>Clean_Data!G6</f>
        <v>4</v>
      </c>
      <c r="J12" s="29">
        <f t="shared" ca="1" si="1"/>
        <v>0</v>
      </c>
      <c r="K12" s="29">
        <f t="shared" ca="1" si="2"/>
        <v>100</v>
      </c>
      <c r="L12" s="20">
        <f t="shared" si="3"/>
        <v>25</v>
      </c>
      <c r="M12" s="30">
        <f t="shared" ca="1" si="4"/>
        <v>46.3</v>
      </c>
      <c r="N12" s="20" t="str">
        <f t="shared" ca="1" si="5"/>
        <v>Medium Risk</v>
      </c>
      <c r="O12" s="26">
        <f ca="1">RANK(M12, $M$8:$M$57, 0) + COUNTIF($M$8:M12, M12) - 1</f>
        <v>42</v>
      </c>
    </row>
    <row r="13" spans="1:15" x14ac:dyDescent="0.35">
      <c r="A13" s="20" t="str">
        <f>Clean_Data!A7</f>
        <v>EMP5808</v>
      </c>
      <c r="B13" s="20" t="str">
        <f>Clean_Data!B7</f>
        <v>Neha Pandey</v>
      </c>
      <c r="C13" s="20" t="str">
        <f>Clean_Data!C7</f>
        <v>Legal</v>
      </c>
      <c r="D13" s="20" t="str">
        <f>Clean_Data!M7</f>
        <v>Siddharth Roy</v>
      </c>
      <c r="E13" s="20">
        <f ca="1">DATEDIF(INDEX(Clean_Data[Hire Date],MATCH(Risk_Score!B13,Clean_Data[Full Name],0)),TODAY(),"Y")</f>
        <v>15</v>
      </c>
      <c r="F13" s="20">
        <f ca="1">DATEDIF(Clean_Data!E7, TODAY(), "Y")</f>
        <v>45</v>
      </c>
      <c r="G13" s="20" t="str">
        <f t="shared" ca="1" si="0"/>
        <v>40-49</v>
      </c>
      <c r="H13" s="20">
        <f ca="1">DATEDIF(Clean_Data!F7,TODAY(), "Y")</f>
        <v>14</v>
      </c>
      <c r="I13" s="29">
        <f>Clean_Data!G7</f>
        <v>5</v>
      </c>
      <c r="J13" s="29">
        <f t="shared" ca="1" si="1"/>
        <v>0</v>
      </c>
      <c r="K13" s="29">
        <f t="shared" ca="1" si="2"/>
        <v>100</v>
      </c>
      <c r="L13" s="20">
        <f t="shared" si="3"/>
        <v>0</v>
      </c>
      <c r="M13" s="30">
        <f t="shared" ca="1" si="4"/>
        <v>40</v>
      </c>
      <c r="N13" s="20" t="str">
        <f t="shared" ca="1" si="5"/>
        <v>Low Risk</v>
      </c>
      <c r="O13" s="26">
        <f ca="1">RANK(M13, $M$8:$M$57, 0) + COUNTIF($M$8:M13, M13) - 1</f>
        <v>49</v>
      </c>
    </row>
    <row r="14" spans="1:15" x14ac:dyDescent="0.35">
      <c r="A14" s="20" t="str">
        <f>Clean_Data!A8</f>
        <v>EMP6947</v>
      </c>
      <c r="B14" s="20" t="str">
        <f>Clean_Data!B8</f>
        <v>Ritu Srivastava</v>
      </c>
      <c r="C14" s="20" t="str">
        <f>Clean_Data!C8</f>
        <v>Sales</v>
      </c>
      <c r="D14" s="20" t="str">
        <f>Clean_Data!M8</f>
        <v>Divya Reddy</v>
      </c>
      <c r="E14" s="20">
        <f ca="1">DATEDIF(INDEX(Clean_Data[Hire Date],MATCH(Risk_Score!B14,Clean_Data[Full Name],0)),TODAY(),"Y")</f>
        <v>13</v>
      </c>
      <c r="F14" s="20">
        <f ca="1">DATEDIF(Clean_Data!E8, TODAY(), "Y")</f>
        <v>36</v>
      </c>
      <c r="G14" s="20" t="str">
        <f t="shared" ca="1" si="0"/>
        <v>30-39</v>
      </c>
      <c r="H14" s="20">
        <f ca="1">DATEDIF(Clean_Data!F8,TODAY(), "Y")</f>
        <v>11</v>
      </c>
      <c r="I14" s="29">
        <f>Clean_Data!G8</f>
        <v>2</v>
      </c>
      <c r="J14" s="29">
        <f t="shared" ca="1" si="1"/>
        <v>13.333333333333334</v>
      </c>
      <c r="K14" s="29">
        <f t="shared" ca="1" si="2"/>
        <v>100</v>
      </c>
      <c r="L14" s="20">
        <f t="shared" si="3"/>
        <v>75</v>
      </c>
      <c r="M14" s="30">
        <f t="shared" ca="1" si="4"/>
        <v>63.4</v>
      </c>
      <c r="N14" s="20" t="str">
        <f t="shared" ca="1" si="5"/>
        <v>Medium Risk</v>
      </c>
      <c r="O14" s="26">
        <f ca="1">RANK(M14, $M$8:$M$57, 0) + COUNTIF($M$8:M14, M14) - 1</f>
        <v>8</v>
      </c>
    </row>
    <row r="15" spans="1:15" x14ac:dyDescent="0.35">
      <c r="A15" s="20" t="str">
        <f>Clean_Data!A9</f>
        <v>EMP7118</v>
      </c>
      <c r="B15" s="20" t="str">
        <f>Clean_Data!B9</f>
        <v>Alok Dutta</v>
      </c>
      <c r="C15" s="20" t="str">
        <f>Clean_Data!C9</f>
        <v>Legal</v>
      </c>
      <c r="D15" s="20" t="str">
        <f>Clean_Data!M9</f>
        <v>Rajiv Khanna</v>
      </c>
      <c r="E15" s="20">
        <f ca="1">DATEDIF(INDEX(Clean_Data[Hire Date],MATCH(Risk_Score!B15,Clean_Data[Full Name],0)),TODAY(),"Y")</f>
        <v>14</v>
      </c>
      <c r="F15" s="20">
        <f ca="1">DATEDIF(Clean_Data!E9, TODAY(), "Y")</f>
        <v>39</v>
      </c>
      <c r="G15" s="20" t="str">
        <f t="shared" ca="1" si="0"/>
        <v>30-39</v>
      </c>
      <c r="H15" s="20">
        <f ca="1">DATEDIF(Clean_Data!F9,TODAY(), "Y")</f>
        <v>9</v>
      </c>
      <c r="I15" s="29">
        <f>Clean_Data!G9</f>
        <v>4</v>
      </c>
      <c r="J15" s="29">
        <f t="shared" ca="1" si="1"/>
        <v>6.666666666666667</v>
      </c>
      <c r="K15" s="29">
        <f t="shared" ca="1" si="2"/>
        <v>100</v>
      </c>
      <c r="L15" s="20">
        <f t="shared" si="3"/>
        <v>25</v>
      </c>
      <c r="M15" s="30">
        <f t="shared" ca="1" si="4"/>
        <v>48.6</v>
      </c>
      <c r="N15" s="20" t="str">
        <f t="shared" ca="1" si="5"/>
        <v>Medium Risk</v>
      </c>
      <c r="O15" s="26">
        <f ca="1">RANK(M15, $M$8:$M$57, 0) + COUNTIF($M$8:M15, M15) - 1</f>
        <v>37</v>
      </c>
    </row>
    <row r="16" spans="1:15" x14ac:dyDescent="0.35">
      <c r="A16" s="20" t="str">
        <f>Clean_Data!A10</f>
        <v>EMP8744</v>
      </c>
      <c r="B16" s="20" t="str">
        <f>Clean_Data!B10</f>
        <v>Kavya Subramaniam</v>
      </c>
      <c r="C16" s="20" t="str">
        <f>Clean_Data!C10</f>
        <v>IT</v>
      </c>
      <c r="D16" s="20" t="str">
        <f>Clean_Data!M10</f>
        <v>Rajiv Khanna</v>
      </c>
      <c r="E16" s="20">
        <f ca="1">DATEDIF(INDEX(Clean_Data[Hire Date],MATCH(Risk_Score!B16,Clean_Data[Full Name],0)),TODAY(),"Y")</f>
        <v>13</v>
      </c>
      <c r="F16" s="20">
        <f ca="1">DATEDIF(Clean_Data!E10, TODAY(), "Y")</f>
        <v>55</v>
      </c>
      <c r="G16" s="20" t="str">
        <f t="shared" ca="1" si="0"/>
        <v>50+</v>
      </c>
      <c r="H16" s="20">
        <f ca="1">DATEDIF(Clean_Data!F10,TODAY(), "Y")</f>
        <v>8</v>
      </c>
      <c r="I16" s="29">
        <f>Clean_Data!G10</f>
        <v>5</v>
      </c>
      <c r="J16" s="29">
        <f t="shared" ca="1" si="1"/>
        <v>13.333333333333334</v>
      </c>
      <c r="K16" s="29">
        <f t="shared" ca="1" si="2"/>
        <v>100</v>
      </c>
      <c r="L16" s="20">
        <f t="shared" si="3"/>
        <v>0</v>
      </c>
      <c r="M16" s="30">
        <f t="shared" ca="1" si="4"/>
        <v>44.7</v>
      </c>
      <c r="N16" s="20" t="str">
        <f t="shared" ca="1" si="5"/>
        <v>Low Risk</v>
      </c>
      <c r="O16" s="26">
        <f ca="1">RANK(M16, $M$8:$M$57, 0) + COUNTIF($M$8:M16, M16) - 1</f>
        <v>46</v>
      </c>
    </row>
    <row r="17" spans="1:15" x14ac:dyDescent="0.35">
      <c r="A17" s="20" t="str">
        <f>Clean_Data!A11</f>
        <v>EMP2235</v>
      </c>
      <c r="B17" s="20" t="str">
        <f>Clean_Data!B11</f>
        <v>Alok Ghosh</v>
      </c>
      <c r="C17" s="20" t="str">
        <f>Clean_Data!C11</f>
        <v>Engineering</v>
      </c>
      <c r="D17" s="20" t="str">
        <f>Clean_Data!M11</f>
        <v>Preethi Nair</v>
      </c>
      <c r="E17" s="20">
        <f ca="1">DATEDIF(INDEX(Clean_Data[Hire Date],MATCH(Risk_Score!B17,Clean_Data[Full Name],0)),TODAY(),"Y")</f>
        <v>15</v>
      </c>
      <c r="F17" s="20">
        <f ca="1">DATEDIF(Clean_Data!E11, TODAY(), "Y")</f>
        <v>38</v>
      </c>
      <c r="G17" s="20" t="str">
        <f t="shared" ca="1" si="0"/>
        <v>30-39</v>
      </c>
      <c r="H17" s="20">
        <f ca="1">DATEDIF(Clean_Data!F11,TODAY(), "Y")</f>
        <v>14</v>
      </c>
      <c r="I17" s="29">
        <f>Clean_Data!G11</f>
        <v>3</v>
      </c>
      <c r="J17" s="29">
        <f t="shared" ca="1" si="1"/>
        <v>0</v>
      </c>
      <c r="K17" s="29">
        <f t="shared" ca="1" si="2"/>
        <v>100</v>
      </c>
      <c r="L17" s="20">
        <f t="shared" si="3"/>
        <v>50</v>
      </c>
      <c r="M17" s="30">
        <f t="shared" ca="1" si="4"/>
        <v>52.5</v>
      </c>
      <c r="N17" s="20" t="str">
        <f t="shared" ca="1" si="5"/>
        <v>Medium Risk</v>
      </c>
      <c r="O17" s="26">
        <f ca="1">RANK(M17, $M$8:$M$57, 0) + COUNTIF($M$8:M17, M17) - 1</f>
        <v>31</v>
      </c>
    </row>
    <row r="18" spans="1:15" x14ac:dyDescent="0.35">
      <c r="A18" s="20" t="str">
        <f>Clean_Data!A12</f>
        <v>EMP8973</v>
      </c>
      <c r="B18" s="20" t="str">
        <f>Clean_Data!B12</f>
        <v>Pooja Agarwal</v>
      </c>
      <c r="C18" s="20" t="str">
        <f>Clean_Data!C12</f>
        <v>Marketing</v>
      </c>
      <c r="D18" s="20" t="str">
        <f>Clean_Data!M12</f>
        <v>Anil Desai</v>
      </c>
      <c r="E18" s="20">
        <f ca="1">DATEDIF(INDEX(Clean_Data[Hire Date],MATCH(Risk_Score!B18,Clean_Data[Full Name],0)),TODAY(),"Y")</f>
        <v>13</v>
      </c>
      <c r="F18" s="20">
        <f ca="1">DATEDIF(Clean_Data!E12, TODAY(), "Y")</f>
        <v>58</v>
      </c>
      <c r="G18" s="20" t="str">
        <f t="shared" ca="1" si="0"/>
        <v>50+</v>
      </c>
      <c r="H18" s="20">
        <f ca="1">DATEDIF(Clean_Data!F12,TODAY(), "Y")</f>
        <v>10</v>
      </c>
      <c r="I18" s="29">
        <f>Clean_Data!G12</f>
        <v>4</v>
      </c>
      <c r="J18" s="29">
        <f t="shared" ca="1" si="1"/>
        <v>13.333333333333334</v>
      </c>
      <c r="K18" s="29">
        <f t="shared" ca="1" si="2"/>
        <v>100</v>
      </c>
      <c r="L18" s="20">
        <f t="shared" si="3"/>
        <v>25</v>
      </c>
      <c r="M18" s="30">
        <f t="shared" ca="1" si="4"/>
        <v>50.9</v>
      </c>
      <c r="N18" s="20" t="str">
        <f t="shared" ca="1" si="5"/>
        <v>Medium Risk</v>
      </c>
      <c r="O18" s="26">
        <f ca="1">RANK(M18, $M$8:$M$57, 0) + COUNTIF($M$8:M18, M18) - 1</f>
        <v>33</v>
      </c>
    </row>
    <row r="19" spans="1:15" x14ac:dyDescent="0.35">
      <c r="A19" s="20" t="str">
        <f>Clean_Data!A13</f>
        <v>EMP1651</v>
      </c>
      <c r="B19" s="20" t="str">
        <f>Clean_Data!B13</f>
        <v>Usha Joshi</v>
      </c>
      <c r="C19" s="20" t="str">
        <f>Clean_Data!C13</f>
        <v>IT</v>
      </c>
      <c r="D19" s="20" t="str">
        <f>Clean_Data!M13</f>
        <v>Siddharth Roy</v>
      </c>
      <c r="E19" s="20">
        <f ca="1">DATEDIF(INDEX(Clean_Data[Hire Date],MATCH(Risk_Score!B19,Clean_Data[Full Name],0)),TODAY(),"Y")</f>
        <v>5</v>
      </c>
      <c r="F19" s="20">
        <f ca="1">DATEDIF(Clean_Data!E13, TODAY(), "Y")</f>
        <v>43</v>
      </c>
      <c r="G19" s="20" t="str">
        <f t="shared" ca="1" si="0"/>
        <v>40-49</v>
      </c>
      <c r="H19" s="20">
        <f ca="1">DATEDIF(Clean_Data!F13,TODAY(), "Y")</f>
        <v>3</v>
      </c>
      <c r="I19" s="29">
        <f>Clean_Data!G13</f>
        <v>3</v>
      </c>
      <c r="J19" s="29">
        <f t="shared" ca="1" si="1"/>
        <v>66.666666666666657</v>
      </c>
      <c r="K19" s="29">
        <f t="shared" ca="1" si="2"/>
        <v>60</v>
      </c>
      <c r="L19" s="20">
        <f t="shared" si="3"/>
        <v>50</v>
      </c>
      <c r="M19" s="30">
        <f t="shared" ca="1" si="4"/>
        <v>59.8</v>
      </c>
      <c r="N19" s="20" t="str">
        <f t="shared" ca="1" si="5"/>
        <v>Medium Risk</v>
      </c>
      <c r="O19" s="26">
        <f ca="1">RANK(M19, $M$8:$M$57, 0) + COUNTIF($M$8:M19, M19) - 1</f>
        <v>17</v>
      </c>
    </row>
    <row r="20" spans="1:15" x14ac:dyDescent="0.35">
      <c r="A20" s="20" t="str">
        <f>Clean_Data!A14</f>
        <v>EMP9808</v>
      </c>
      <c r="B20" s="20" t="str">
        <f>Clean_Data!B14</f>
        <v>Nisha Das</v>
      </c>
      <c r="C20" s="20" t="str">
        <f>Clean_Data!C14</f>
        <v>Marketing</v>
      </c>
      <c r="D20" s="20" t="str">
        <f>Clean_Data!M14</f>
        <v>Siddharth Roy</v>
      </c>
      <c r="E20" s="20">
        <f ca="1">DATEDIF(INDEX(Clean_Data[Hire Date],MATCH(Risk_Score!B20,Clean_Data[Full Name],0)),TODAY(),"Y")</f>
        <v>14</v>
      </c>
      <c r="F20" s="20">
        <f ca="1">DATEDIF(Clean_Data!E14, TODAY(), "Y")</f>
        <v>42</v>
      </c>
      <c r="G20" s="20" t="str">
        <f t="shared" ca="1" si="0"/>
        <v>40-49</v>
      </c>
      <c r="H20" s="20">
        <f ca="1">DATEDIF(Clean_Data!F14,TODAY(), "Y")</f>
        <v>11</v>
      </c>
      <c r="I20" s="29">
        <f>Clean_Data!G14</f>
        <v>4</v>
      </c>
      <c r="J20" s="29">
        <f t="shared" ca="1" si="1"/>
        <v>6.666666666666667</v>
      </c>
      <c r="K20" s="29">
        <f t="shared" ca="1" si="2"/>
        <v>100</v>
      </c>
      <c r="L20" s="20">
        <f t="shared" si="3"/>
        <v>25</v>
      </c>
      <c r="M20" s="30">
        <f t="shared" ca="1" si="4"/>
        <v>48.6</v>
      </c>
      <c r="N20" s="20" t="str">
        <f t="shared" ca="1" si="5"/>
        <v>Medium Risk</v>
      </c>
      <c r="O20" s="26">
        <f ca="1">RANK(M20, $M$8:$M$57, 0) + COUNTIF($M$8:M20, M20) - 1</f>
        <v>38</v>
      </c>
    </row>
    <row r="21" spans="1:15" x14ac:dyDescent="0.35">
      <c r="A21" s="20" t="str">
        <f>Clean_Data!A15</f>
        <v>EMP4450</v>
      </c>
      <c r="B21" s="20" t="str">
        <f>Clean_Data!B15</f>
        <v>Mala Bhatia</v>
      </c>
      <c r="C21" s="20" t="str">
        <f>Clean_Data!C15</f>
        <v>Operations</v>
      </c>
      <c r="D21" s="20" t="str">
        <f>Clean_Data!M15</f>
        <v>Siddharth Roy</v>
      </c>
      <c r="E21" s="20">
        <f ca="1">DATEDIF(INDEX(Clean_Data[Hire Date],MATCH(Risk_Score!B21,Clean_Data[Full Name],0)),TODAY(),"Y")</f>
        <v>5</v>
      </c>
      <c r="F21" s="20">
        <f ca="1">DATEDIF(Clean_Data!E15, TODAY(), "Y")</f>
        <v>35</v>
      </c>
      <c r="G21" s="20" t="str">
        <f t="shared" ca="1" si="0"/>
        <v>30-39</v>
      </c>
      <c r="H21" s="20">
        <f ca="1">DATEDIF(Clean_Data!F15,TODAY(), "Y")</f>
        <v>3</v>
      </c>
      <c r="I21" s="29">
        <f>Clean_Data!G15</f>
        <v>4</v>
      </c>
      <c r="J21" s="29">
        <f t="shared" ca="1" si="1"/>
        <v>66.666666666666657</v>
      </c>
      <c r="K21" s="29">
        <f t="shared" ca="1" si="2"/>
        <v>60</v>
      </c>
      <c r="L21" s="20">
        <f t="shared" si="3"/>
        <v>25</v>
      </c>
      <c r="M21" s="30">
        <f t="shared" ca="1" si="4"/>
        <v>53.6</v>
      </c>
      <c r="N21" s="20" t="str">
        <f t="shared" ca="1" si="5"/>
        <v>Medium Risk</v>
      </c>
      <c r="O21" s="26">
        <f ca="1">RANK(M21, $M$8:$M$57, 0) + COUNTIF($M$8:M21, M21) - 1</f>
        <v>27</v>
      </c>
    </row>
    <row r="22" spans="1:15" x14ac:dyDescent="0.35">
      <c r="A22" s="20" t="str">
        <f>Clean_Data!A16</f>
        <v>EMP3442</v>
      </c>
      <c r="B22" s="20" t="str">
        <f>Clean_Data!B16</f>
        <v>Vikas Singh</v>
      </c>
      <c r="C22" s="20" t="str">
        <f>Clean_Data!C16</f>
        <v>Operations</v>
      </c>
      <c r="D22" s="20" t="str">
        <f>Clean_Data!M16</f>
        <v>Rajiv Khanna</v>
      </c>
      <c r="E22" s="20">
        <f ca="1">DATEDIF(INDEX(Clean_Data[Hire Date],MATCH(Risk_Score!B22,Clean_Data[Full Name],0)),TODAY(),"Y")</f>
        <v>6</v>
      </c>
      <c r="F22" s="20">
        <f ca="1">DATEDIF(Clean_Data!E16, TODAY(), "Y")</f>
        <v>42</v>
      </c>
      <c r="G22" s="20" t="str">
        <f t="shared" ca="1" si="0"/>
        <v>40-49</v>
      </c>
      <c r="H22" s="20">
        <f ca="1">DATEDIF(Clean_Data!F16,TODAY(), "Y")</f>
        <v>3</v>
      </c>
      <c r="I22" s="29">
        <f>Clean_Data!G16</f>
        <v>5</v>
      </c>
      <c r="J22" s="29">
        <f t="shared" ca="1" si="1"/>
        <v>60</v>
      </c>
      <c r="K22" s="29">
        <f t="shared" ca="1" si="2"/>
        <v>60</v>
      </c>
      <c r="L22" s="20">
        <f t="shared" si="3"/>
        <v>0</v>
      </c>
      <c r="M22" s="30">
        <f t="shared" ca="1" si="4"/>
        <v>45</v>
      </c>
      <c r="N22" s="20" t="str">
        <f t="shared" ca="1" si="5"/>
        <v>Medium Risk</v>
      </c>
      <c r="O22" s="26">
        <f ca="1">RANK(M22, $M$8:$M$57, 0) + COUNTIF($M$8:M22, M22) - 1</f>
        <v>44</v>
      </c>
    </row>
    <row r="23" spans="1:15" x14ac:dyDescent="0.35">
      <c r="A23" s="20" t="str">
        <f>Clean_Data!A17</f>
        <v>EMP3662</v>
      </c>
      <c r="B23" s="20" t="str">
        <f>Clean_Data!B17</f>
        <v>Divya Pillai</v>
      </c>
      <c r="C23" s="20" t="str">
        <f>Clean_Data!C17</f>
        <v>Sales</v>
      </c>
      <c r="D23" s="20" t="str">
        <f>Clean_Data!M17</f>
        <v>Sunita Bose</v>
      </c>
      <c r="E23" s="20">
        <f ca="1">DATEDIF(INDEX(Clean_Data[Hire Date],MATCH(Risk_Score!B23,Clean_Data[Full Name],0)),TODAY(),"Y")</f>
        <v>13</v>
      </c>
      <c r="F23" s="20">
        <f ca="1">DATEDIF(Clean_Data!E17, TODAY(), "Y")</f>
        <v>48</v>
      </c>
      <c r="G23" s="20" t="str">
        <f t="shared" ca="1" si="0"/>
        <v>40-49</v>
      </c>
      <c r="H23" s="20">
        <f ca="1">DATEDIF(Clean_Data!F17,TODAY(), "Y")</f>
        <v>12</v>
      </c>
      <c r="I23" s="29">
        <f>Clean_Data!G17</f>
        <v>5</v>
      </c>
      <c r="J23" s="29">
        <f t="shared" ca="1" si="1"/>
        <v>13.333333333333334</v>
      </c>
      <c r="K23" s="29">
        <f t="shared" ca="1" si="2"/>
        <v>100</v>
      </c>
      <c r="L23" s="20">
        <f t="shared" si="3"/>
        <v>0</v>
      </c>
      <c r="M23" s="30">
        <f t="shared" ca="1" si="4"/>
        <v>44.7</v>
      </c>
      <c r="N23" s="20" t="str">
        <f t="shared" ca="1" si="5"/>
        <v>Low Risk</v>
      </c>
      <c r="O23" s="26">
        <f ca="1">RANK(M23, $M$8:$M$57, 0) + COUNTIF($M$8:M23, M23) - 1</f>
        <v>47</v>
      </c>
    </row>
    <row r="24" spans="1:15" x14ac:dyDescent="0.35">
      <c r="A24" s="20" t="str">
        <f>Clean_Data!A18</f>
        <v>EMP4164</v>
      </c>
      <c r="B24" s="20" t="str">
        <f>Clean_Data!B18</f>
        <v>Shreya Bhatia</v>
      </c>
      <c r="C24" s="20" t="str">
        <f>Clean_Data!C18</f>
        <v>Marketing</v>
      </c>
      <c r="D24" s="20" t="str">
        <f>Clean_Data!M18</f>
        <v>Siddharth Roy</v>
      </c>
      <c r="E24" s="20">
        <f ca="1">DATEDIF(INDEX(Clean_Data[Hire Date],MATCH(Risk_Score!B24,Clean_Data[Full Name],0)),TODAY(),"Y")</f>
        <v>14</v>
      </c>
      <c r="F24" s="20">
        <f ca="1">DATEDIF(Clean_Data!E18, TODAY(), "Y")</f>
        <v>56</v>
      </c>
      <c r="G24" s="20" t="str">
        <f t="shared" ca="1" si="0"/>
        <v>50+</v>
      </c>
      <c r="H24" s="20">
        <f ca="1">DATEDIF(Clean_Data!F18,TODAY(), "Y")</f>
        <v>10</v>
      </c>
      <c r="I24" s="29">
        <f>Clean_Data!G18</f>
        <v>2</v>
      </c>
      <c r="J24" s="29">
        <f t="shared" ca="1" si="1"/>
        <v>6.666666666666667</v>
      </c>
      <c r="K24" s="29">
        <f t="shared" ca="1" si="2"/>
        <v>100</v>
      </c>
      <c r="L24" s="20">
        <f t="shared" si="3"/>
        <v>75</v>
      </c>
      <c r="M24" s="30">
        <f t="shared" ca="1" si="4"/>
        <v>61.1</v>
      </c>
      <c r="N24" s="20" t="str">
        <f t="shared" ca="1" si="5"/>
        <v>Medium Risk</v>
      </c>
      <c r="O24" s="26">
        <f ca="1">RANK(M24, $M$8:$M$57, 0) + COUNTIF($M$8:M24, M24) - 1</f>
        <v>14</v>
      </c>
    </row>
    <row r="25" spans="1:15" x14ac:dyDescent="0.35">
      <c r="A25" s="20" t="str">
        <f>Clean_Data!A19</f>
        <v>EMP4114</v>
      </c>
      <c r="B25" s="20" t="str">
        <f>Clean_Data!B19</f>
        <v>Nikhil Singh</v>
      </c>
      <c r="C25" s="20" t="str">
        <f>Clean_Data!C19</f>
        <v>IT</v>
      </c>
      <c r="D25" s="20" t="str">
        <f>Clean_Data!M19</f>
        <v>Geeta Pillai</v>
      </c>
      <c r="E25" s="20">
        <f ca="1">DATEDIF(INDEX(Clean_Data[Hire Date],MATCH(Risk_Score!B25,Clean_Data[Full Name],0)),TODAY(),"Y")</f>
        <v>15</v>
      </c>
      <c r="F25" s="20">
        <f ca="1">DATEDIF(Clean_Data!E19, TODAY(), "Y")</f>
        <v>54</v>
      </c>
      <c r="G25" s="20" t="str">
        <f t="shared" ca="1" si="0"/>
        <v>50+</v>
      </c>
      <c r="H25" s="20">
        <f ca="1">DATEDIF(Clean_Data!F19,TODAY(), "Y")</f>
        <v>13</v>
      </c>
      <c r="I25" s="29">
        <f>Clean_Data!G19</f>
        <v>2</v>
      </c>
      <c r="J25" s="29">
        <f t="shared" ca="1" si="1"/>
        <v>0</v>
      </c>
      <c r="K25" s="29">
        <f t="shared" ca="1" si="2"/>
        <v>100</v>
      </c>
      <c r="L25" s="20">
        <f t="shared" si="3"/>
        <v>75</v>
      </c>
      <c r="M25" s="30">
        <f t="shared" ca="1" si="4"/>
        <v>58.8</v>
      </c>
      <c r="N25" s="20" t="str">
        <f t="shared" ca="1" si="5"/>
        <v>Medium Risk</v>
      </c>
      <c r="O25" s="26">
        <f ca="1">RANK(M25, $M$8:$M$57, 0) + COUNTIF($M$8:M25, M25) - 1</f>
        <v>18</v>
      </c>
    </row>
    <row r="26" spans="1:15" x14ac:dyDescent="0.35">
      <c r="A26" s="20" t="str">
        <f>Clean_Data!A20</f>
        <v>EMP7211</v>
      </c>
      <c r="B26" s="20" t="str">
        <f>Clean_Data!B20</f>
        <v>Geeta Trivedi</v>
      </c>
      <c r="C26" s="20" t="str">
        <f>Clean_Data!C20</f>
        <v>HR</v>
      </c>
      <c r="D26" s="20" t="str">
        <f>Clean_Data!M20</f>
        <v>Geeta Pillai</v>
      </c>
      <c r="E26" s="20">
        <f ca="1">DATEDIF(INDEX(Clean_Data[Hire Date],MATCH(Risk_Score!B26,Clean_Data[Full Name],0)),TODAY(),"Y")</f>
        <v>6</v>
      </c>
      <c r="F26" s="20">
        <f ca="1">DATEDIF(Clean_Data!E20, TODAY(), "Y")</f>
        <v>40</v>
      </c>
      <c r="G26" s="20" t="str">
        <f t="shared" ca="1" si="0"/>
        <v>40-49</v>
      </c>
      <c r="H26" s="20">
        <f ca="1">DATEDIF(Clean_Data!F20,TODAY(), "Y")</f>
        <v>6</v>
      </c>
      <c r="I26" s="29">
        <f>Clean_Data!G20</f>
        <v>3</v>
      </c>
      <c r="J26" s="29">
        <f t="shared" ca="1" si="1"/>
        <v>60</v>
      </c>
      <c r="K26" s="29">
        <f t="shared" ca="1" si="2"/>
        <v>100</v>
      </c>
      <c r="L26" s="20">
        <f t="shared" si="3"/>
        <v>50</v>
      </c>
      <c r="M26" s="30">
        <f t="shared" ca="1" si="4"/>
        <v>73.5</v>
      </c>
      <c r="N26" s="20" t="str">
        <f t="shared" ca="1" si="5"/>
        <v>High Risk</v>
      </c>
      <c r="O26" s="26">
        <f ca="1">RANK(M26, $M$8:$M$57, 0) + COUNTIF($M$8:M26, M26) - 1</f>
        <v>1</v>
      </c>
    </row>
    <row r="27" spans="1:15" x14ac:dyDescent="0.35">
      <c r="A27" s="20" t="str">
        <f>Clean_Data!A21</f>
        <v>EMP6491</v>
      </c>
      <c r="B27" s="20" t="str">
        <f>Clean_Data!B21</f>
        <v>Ananya Desai</v>
      </c>
      <c r="C27" s="20" t="str">
        <f>Clean_Data!C21</f>
        <v>Finance</v>
      </c>
      <c r="D27" s="20" t="str">
        <f>Clean_Data!M21</f>
        <v>Sunita Bose</v>
      </c>
      <c r="E27" s="20">
        <f ca="1">DATEDIF(INDEX(Clean_Data[Hire Date],MATCH(Risk_Score!B27,Clean_Data[Full Name],0)),TODAY(),"Y")</f>
        <v>5</v>
      </c>
      <c r="F27" s="20">
        <f ca="1">DATEDIF(Clean_Data!E21, TODAY(), "Y")</f>
        <v>34</v>
      </c>
      <c r="G27" s="20" t="str">
        <f t="shared" ca="1" si="0"/>
        <v>30-39</v>
      </c>
      <c r="H27" s="20">
        <f ca="1">DATEDIF(Clean_Data!F21,TODAY(), "Y")</f>
        <v>5</v>
      </c>
      <c r="I27" s="29">
        <f>Clean_Data!G21</f>
        <v>4</v>
      </c>
      <c r="J27" s="29">
        <f t="shared" ca="1" si="1"/>
        <v>66.666666666666657</v>
      </c>
      <c r="K27" s="29">
        <f t="shared" ca="1" si="2"/>
        <v>100</v>
      </c>
      <c r="L27" s="20">
        <f t="shared" si="3"/>
        <v>25</v>
      </c>
      <c r="M27" s="30">
        <f t="shared" ca="1" si="4"/>
        <v>69.599999999999994</v>
      </c>
      <c r="N27" s="20" t="str">
        <f t="shared" ca="1" si="5"/>
        <v>Medium Risk</v>
      </c>
      <c r="O27" s="26">
        <f ca="1">RANK(M27, $M$8:$M$57, 0) + COUNTIF($M$8:M27, M27) - 1</f>
        <v>3</v>
      </c>
    </row>
    <row r="28" spans="1:15" x14ac:dyDescent="0.35">
      <c r="A28" s="20" t="str">
        <f>Clean_Data!A22</f>
        <v>EMP2746</v>
      </c>
      <c r="B28" s="20" t="str">
        <f>Clean_Data!B22</f>
        <v>Hema Rao</v>
      </c>
      <c r="C28" s="20" t="str">
        <f>Clean_Data!C22</f>
        <v>Finance</v>
      </c>
      <c r="D28" s="20" t="str">
        <f>Clean_Data!M22</f>
        <v>Divya Reddy</v>
      </c>
      <c r="E28" s="20">
        <f ca="1">DATEDIF(INDEX(Clean_Data[Hire Date],MATCH(Risk_Score!B28,Clean_Data[Full Name],0)),TODAY(),"Y")</f>
        <v>13</v>
      </c>
      <c r="F28" s="20">
        <f ca="1">DATEDIF(Clean_Data!E22, TODAY(), "Y")</f>
        <v>50</v>
      </c>
      <c r="G28" s="20" t="str">
        <f t="shared" ca="1" si="0"/>
        <v>50+</v>
      </c>
      <c r="H28" s="20">
        <f ca="1">DATEDIF(Clean_Data!F22,TODAY(), "Y")</f>
        <v>12</v>
      </c>
      <c r="I28" s="29">
        <f>Clean_Data!G22</f>
        <v>2</v>
      </c>
      <c r="J28" s="29">
        <f t="shared" ca="1" si="1"/>
        <v>13.333333333333334</v>
      </c>
      <c r="K28" s="29">
        <f t="shared" ca="1" si="2"/>
        <v>100</v>
      </c>
      <c r="L28" s="20">
        <f t="shared" si="3"/>
        <v>75</v>
      </c>
      <c r="M28" s="30">
        <f t="shared" ca="1" si="4"/>
        <v>63.4</v>
      </c>
      <c r="N28" s="20" t="str">
        <f t="shared" ca="1" si="5"/>
        <v>Medium Risk</v>
      </c>
      <c r="O28" s="26">
        <f ca="1">RANK(M28, $M$8:$M$57, 0) + COUNTIF($M$8:M28, M28) - 1</f>
        <v>9</v>
      </c>
    </row>
    <row r="29" spans="1:15" x14ac:dyDescent="0.35">
      <c r="A29" s="20" t="str">
        <f>Clean_Data!A23</f>
        <v>EMP5050</v>
      </c>
      <c r="B29" s="20" t="str">
        <f>Clean_Data!B23</f>
        <v>Naveen Chauhan</v>
      </c>
      <c r="C29" s="20" t="str">
        <f>Clean_Data!C23</f>
        <v>Legal</v>
      </c>
      <c r="D29" s="20" t="str">
        <f>Clean_Data!M23</f>
        <v>Sunita Bose</v>
      </c>
      <c r="E29" s="20">
        <f ca="1">DATEDIF(INDEX(Clean_Data[Hire Date],MATCH(Risk_Score!B29,Clean_Data[Full Name],0)),TODAY(),"Y")</f>
        <v>6</v>
      </c>
      <c r="F29" s="20">
        <f ca="1">DATEDIF(Clean_Data!E23, TODAY(), "Y")</f>
        <v>42</v>
      </c>
      <c r="G29" s="20" t="str">
        <f t="shared" ca="1" si="0"/>
        <v>40-49</v>
      </c>
      <c r="H29" s="20">
        <f ca="1">DATEDIF(Clean_Data!F23,TODAY(), "Y")</f>
        <v>3</v>
      </c>
      <c r="I29" s="29">
        <f>Clean_Data!G23</f>
        <v>3</v>
      </c>
      <c r="J29" s="29">
        <f t="shared" ca="1" si="1"/>
        <v>60</v>
      </c>
      <c r="K29" s="29">
        <f t="shared" ca="1" si="2"/>
        <v>60</v>
      </c>
      <c r="L29" s="20">
        <f t="shared" si="3"/>
        <v>50</v>
      </c>
      <c r="M29" s="30">
        <f t="shared" ca="1" si="4"/>
        <v>57.5</v>
      </c>
      <c r="N29" s="20" t="str">
        <f t="shared" ca="1" si="5"/>
        <v>Medium Risk</v>
      </c>
      <c r="O29" s="26">
        <f ca="1">RANK(M29, $M$8:$M$57, 0) + COUNTIF($M$8:M29, M29) - 1</f>
        <v>20</v>
      </c>
    </row>
    <row r="30" spans="1:15" x14ac:dyDescent="0.35">
      <c r="A30" s="20" t="str">
        <f>Clean_Data!A24</f>
        <v>EMP1320</v>
      </c>
      <c r="B30" s="20" t="str">
        <f>Clean_Data!B24</f>
        <v>Kapil Bose</v>
      </c>
      <c r="C30" s="20" t="str">
        <f>Clean_Data!C24</f>
        <v>IT</v>
      </c>
      <c r="D30" s="20" t="str">
        <f>Clean_Data!M24</f>
        <v>Preethi Nair</v>
      </c>
      <c r="E30" s="20">
        <f ca="1">DATEDIF(INDEX(Clean_Data[Hire Date],MATCH(Risk_Score!B30,Clean_Data[Full Name],0)),TODAY(),"Y")</f>
        <v>9</v>
      </c>
      <c r="F30" s="20">
        <f ca="1">DATEDIF(Clean_Data!E24, TODAY(), "Y")</f>
        <v>39</v>
      </c>
      <c r="G30" s="20" t="str">
        <f t="shared" ca="1" si="0"/>
        <v>30-39</v>
      </c>
      <c r="H30" s="20">
        <f ca="1">DATEDIF(Clean_Data!F24,TODAY(), "Y")</f>
        <v>4</v>
      </c>
      <c r="I30" s="29">
        <f>Clean_Data!G24</f>
        <v>4</v>
      </c>
      <c r="J30" s="29">
        <f t="shared" ca="1" si="1"/>
        <v>40</v>
      </c>
      <c r="K30" s="29">
        <f t="shared" ca="1" si="2"/>
        <v>80</v>
      </c>
      <c r="L30" s="20">
        <f t="shared" si="3"/>
        <v>25</v>
      </c>
      <c r="M30" s="30">
        <f t="shared" ca="1" si="4"/>
        <v>52.3</v>
      </c>
      <c r="N30" s="20" t="str">
        <f t="shared" ca="1" si="5"/>
        <v>Medium Risk</v>
      </c>
      <c r="O30" s="26">
        <f ca="1">RANK(M30, $M$8:$M$57, 0) + COUNTIF($M$8:M30, M30) - 1</f>
        <v>32</v>
      </c>
    </row>
    <row r="31" spans="1:15" x14ac:dyDescent="0.35">
      <c r="A31" s="20" t="str">
        <f>Clean_Data!A25</f>
        <v>EMP9751</v>
      </c>
      <c r="B31" s="20" t="str">
        <f>Clean_Data!B25</f>
        <v>Priya Iyer</v>
      </c>
      <c r="C31" s="20" t="str">
        <f>Clean_Data!C25</f>
        <v>Sales</v>
      </c>
      <c r="D31" s="20" t="str">
        <f>Clean_Data!M25</f>
        <v>Divya Reddy</v>
      </c>
      <c r="E31" s="20">
        <f ca="1">DATEDIF(INDEX(Clean_Data[Hire Date],MATCH(Risk_Score!B31,Clean_Data[Full Name],0)),TODAY(),"Y")</f>
        <v>14</v>
      </c>
      <c r="F31" s="20">
        <f ca="1">DATEDIF(Clean_Data!E25, TODAY(), "Y")</f>
        <v>40</v>
      </c>
      <c r="G31" s="20" t="str">
        <f t="shared" ca="1" si="0"/>
        <v>40-49</v>
      </c>
      <c r="H31" s="20">
        <f ca="1">DATEDIF(Clean_Data!F25,TODAY(), "Y")</f>
        <v>14</v>
      </c>
      <c r="I31" s="29">
        <f>Clean_Data!G25</f>
        <v>3</v>
      </c>
      <c r="J31" s="29">
        <f t="shared" ca="1" si="1"/>
        <v>6.666666666666667</v>
      </c>
      <c r="K31" s="29">
        <f t="shared" ca="1" si="2"/>
        <v>100</v>
      </c>
      <c r="L31" s="20">
        <f t="shared" si="3"/>
        <v>50</v>
      </c>
      <c r="M31" s="30">
        <f t="shared" ca="1" si="4"/>
        <v>54.8</v>
      </c>
      <c r="N31" s="20" t="str">
        <f t="shared" ca="1" si="5"/>
        <v>Medium Risk</v>
      </c>
      <c r="O31" s="26">
        <f ca="1">RANK(M31, $M$8:$M$57, 0) + COUNTIF($M$8:M31, M31) - 1</f>
        <v>25</v>
      </c>
    </row>
    <row r="32" spans="1:15" x14ac:dyDescent="0.35">
      <c r="A32" s="20" t="str">
        <f>Clean_Data!A26</f>
        <v>EMP2124</v>
      </c>
      <c r="B32" s="20" t="str">
        <f>Clean_Data!B26</f>
        <v>Hema Sinha</v>
      </c>
      <c r="C32" s="20" t="str">
        <f>Clean_Data!C26</f>
        <v>Sales</v>
      </c>
      <c r="D32" s="20" t="str">
        <f>Clean_Data!M26</f>
        <v>Sunita Bose</v>
      </c>
      <c r="E32" s="20">
        <f ca="1">DATEDIF(INDEX(Clean_Data[Hire Date],MATCH(Risk_Score!B32,Clean_Data[Full Name],0)),TODAY(),"Y")</f>
        <v>4</v>
      </c>
      <c r="F32" s="20">
        <f ca="1">DATEDIF(Clean_Data!E26, TODAY(), "Y")</f>
        <v>32</v>
      </c>
      <c r="G32" s="20" t="str">
        <f t="shared" ca="1" si="0"/>
        <v>30-39</v>
      </c>
      <c r="H32" s="20">
        <f ca="1">DATEDIF(Clean_Data!F26,TODAY(), "Y")</f>
        <v>3</v>
      </c>
      <c r="I32" s="29">
        <f>Clean_Data!G26</f>
        <v>3</v>
      </c>
      <c r="J32" s="29">
        <f t="shared" ca="1" si="1"/>
        <v>73.333333333333329</v>
      </c>
      <c r="K32" s="29">
        <f t="shared" ca="1" si="2"/>
        <v>60</v>
      </c>
      <c r="L32" s="20">
        <f t="shared" si="3"/>
        <v>50</v>
      </c>
      <c r="M32" s="30">
        <f t="shared" ca="1" si="4"/>
        <v>62.2</v>
      </c>
      <c r="N32" s="20" t="str">
        <f t="shared" ca="1" si="5"/>
        <v>Medium Risk</v>
      </c>
      <c r="O32" s="26">
        <f ca="1">RANK(M32, $M$8:$M$57, 0) + COUNTIF($M$8:M32, M32) - 1</f>
        <v>12</v>
      </c>
    </row>
    <row r="33" spans="1:15" x14ac:dyDescent="0.35">
      <c r="A33" s="20" t="str">
        <f>Clean_Data!A27</f>
        <v>EMP1420</v>
      </c>
      <c r="B33" s="20" t="str">
        <f>Clean_Data!B27</f>
        <v>Ritu Bose</v>
      </c>
      <c r="C33" s="20" t="str">
        <f>Clean_Data!C27</f>
        <v>IT</v>
      </c>
      <c r="D33" s="20" t="str">
        <f>Clean_Data!M27</f>
        <v>Sunita Bose</v>
      </c>
      <c r="E33" s="20">
        <f ca="1">DATEDIF(INDEX(Clean_Data[Hire Date],MATCH(Risk_Score!B33,Clean_Data[Full Name],0)),TODAY(),"Y")</f>
        <v>9</v>
      </c>
      <c r="F33" s="20">
        <f ca="1">DATEDIF(Clean_Data!E27, TODAY(), "Y")</f>
        <v>33</v>
      </c>
      <c r="G33" s="20" t="str">
        <f t="shared" ca="1" si="0"/>
        <v>30-39</v>
      </c>
      <c r="H33" s="20">
        <f ca="1">DATEDIF(Clean_Data!F27,TODAY(), "Y")</f>
        <v>8</v>
      </c>
      <c r="I33" s="29">
        <f>Clean_Data!G27</f>
        <v>4</v>
      </c>
      <c r="J33" s="29">
        <f t="shared" ca="1" si="1"/>
        <v>40</v>
      </c>
      <c r="K33" s="29">
        <f t="shared" ca="1" si="2"/>
        <v>100</v>
      </c>
      <c r="L33" s="20">
        <f t="shared" si="3"/>
        <v>25</v>
      </c>
      <c r="M33" s="30">
        <f t="shared" ca="1" si="4"/>
        <v>60.3</v>
      </c>
      <c r="N33" s="20" t="str">
        <f t="shared" ca="1" si="5"/>
        <v>Medium Risk</v>
      </c>
      <c r="O33" s="26">
        <f ca="1">RANK(M33, $M$8:$M$57, 0) + COUNTIF($M$8:M33, M33) - 1</f>
        <v>16</v>
      </c>
    </row>
    <row r="34" spans="1:15" x14ac:dyDescent="0.35">
      <c r="A34" s="20" t="str">
        <f>Clean_Data!A28</f>
        <v>EMP6934</v>
      </c>
      <c r="B34" s="20" t="str">
        <f>Clean_Data!B28</f>
        <v>Naveen Krishnan</v>
      </c>
      <c r="C34" s="20" t="str">
        <f>Clean_Data!C28</f>
        <v>HR</v>
      </c>
      <c r="D34" s="20" t="str">
        <f>Clean_Data!M28</f>
        <v>Manish Tiwari</v>
      </c>
      <c r="E34" s="20">
        <f ca="1">DATEDIF(INDEX(Clean_Data[Hire Date],MATCH(Risk_Score!B34,Clean_Data[Full Name],0)),TODAY(),"Y")</f>
        <v>10</v>
      </c>
      <c r="F34" s="20">
        <f ca="1">DATEDIF(Clean_Data!E28, TODAY(), "Y")</f>
        <v>47</v>
      </c>
      <c r="G34" s="20" t="str">
        <f t="shared" ca="1" si="0"/>
        <v>40-49</v>
      </c>
      <c r="H34" s="20">
        <f ca="1">DATEDIF(Clean_Data!F28,TODAY(), "Y")</f>
        <v>4</v>
      </c>
      <c r="I34" s="29">
        <f>Clean_Data!G28</f>
        <v>4</v>
      </c>
      <c r="J34" s="29">
        <f t="shared" ca="1" si="1"/>
        <v>33.333333333333329</v>
      </c>
      <c r="K34" s="29">
        <f t="shared" ca="1" si="2"/>
        <v>80</v>
      </c>
      <c r="L34" s="20">
        <f t="shared" si="3"/>
        <v>25</v>
      </c>
      <c r="M34" s="30">
        <f t="shared" ca="1" si="4"/>
        <v>49.9</v>
      </c>
      <c r="N34" s="20" t="str">
        <f t="shared" ca="1" si="5"/>
        <v>Medium Risk</v>
      </c>
      <c r="O34" s="26">
        <f ca="1">RANK(M34, $M$8:$M$57, 0) + COUNTIF($M$8:M34, M34) - 1</f>
        <v>35</v>
      </c>
    </row>
    <row r="35" spans="1:15" x14ac:dyDescent="0.35">
      <c r="A35" s="20" t="str">
        <f>Clean_Data!A29</f>
        <v>EMP6325</v>
      </c>
      <c r="B35" s="20" t="str">
        <f>Clean_Data!B29</f>
        <v>Divya Choudhury</v>
      </c>
      <c r="C35" s="20" t="str">
        <f>Clean_Data!C29</f>
        <v>Finance</v>
      </c>
      <c r="D35" s="20" t="str">
        <f>Clean_Data!M29</f>
        <v>Preethi Nair</v>
      </c>
      <c r="E35" s="20">
        <f ca="1">DATEDIF(INDEX(Clean_Data[Hire Date],MATCH(Risk_Score!B35,Clean_Data[Full Name],0)),TODAY(),"Y")</f>
        <v>11</v>
      </c>
      <c r="F35" s="20">
        <f ca="1">DATEDIF(Clean_Data!E29, TODAY(), "Y")</f>
        <v>40</v>
      </c>
      <c r="G35" s="20" t="str">
        <f t="shared" ca="1" si="0"/>
        <v>40-49</v>
      </c>
      <c r="H35" s="20">
        <f ca="1">DATEDIF(Clean_Data!F29,TODAY(), "Y")</f>
        <v>8</v>
      </c>
      <c r="I35" s="29">
        <f>Clean_Data!G29</f>
        <v>4</v>
      </c>
      <c r="J35" s="29">
        <f t="shared" ca="1" si="1"/>
        <v>26.666666666666668</v>
      </c>
      <c r="K35" s="29">
        <f t="shared" ca="1" si="2"/>
        <v>100</v>
      </c>
      <c r="L35" s="20">
        <f t="shared" si="3"/>
        <v>25</v>
      </c>
      <c r="M35" s="30">
        <f t="shared" ca="1" si="4"/>
        <v>55.6</v>
      </c>
      <c r="N35" s="20" t="str">
        <f t="shared" ca="1" si="5"/>
        <v>Medium Risk</v>
      </c>
      <c r="O35" s="26">
        <f ca="1">RANK(M35, $M$8:$M$57, 0) + COUNTIF($M$8:M35, M35) - 1</f>
        <v>23</v>
      </c>
    </row>
    <row r="36" spans="1:15" x14ac:dyDescent="0.35">
      <c r="A36" s="20" t="str">
        <f>Clean_Data!A30</f>
        <v>EMP4630</v>
      </c>
      <c r="B36" s="20" t="str">
        <f>Clean_Data!B30</f>
        <v>Shreya Rathore</v>
      </c>
      <c r="C36" s="20" t="str">
        <f>Clean_Data!C30</f>
        <v>Finance</v>
      </c>
      <c r="D36" s="20" t="str">
        <f>Clean_Data!M30</f>
        <v>Geeta Pillai</v>
      </c>
      <c r="E36" s="20">
        <f ca="1">DATEDIF(INDEX(Clean_Data[Hire Date],MATCH(Risk_Score!B36,Clean_Data[Full Name],0)),TODAY(),"Y")</f>
        <v>11</v>
      </c>
      <c r="F36" s="20">
        <f ca="1">DATEDIF(Clean_Data!E30, TODAY(), "Y")</f>
        <v>44</v>
      </c>
      <c r="G36" s="20" t="str">
        <f t="shared" ca="1" si="0"/>
        <v>40-49</v>
      </c>
      <c r="H36" s="20">
        <f ca="1">DATEDIF(Clean_Data!F30,TODAY(), "Y")</f>
        <v>6</v>
      </c>
      <c r="I36" s="29">
        <f>Clean_Data!G30</f>
        <v>5</v>
      </c>
      <c r="J36" s="29">
        <f t="shared" ca="1" si="1"/>
        <v>26.666666666666668</v>
      </c>
      <c r="K36" s="29">
        <f t="shared" ca="1" si="2"/>
        <v>100</v>
      </c>
      <c r="L36" s="20">
        <f t="shared" si="3"/>
        <v>0</v>
      </c>
      <c r="M36" s="30">
        <f t="shared" ca="1" si="4"/>
        <v>49.3</v>
      </c>
      <c r="N36" s="20" t="str">
        <f t="shared" ca="1" si="5"/>
        <v>Medium Risk</v>
      </c>
      <c r="O36" s="26">
        <f ca="1">RANK(M36, $M$8:$M$57, 0) + COUNTIF($M$8:M36, M36) - 1</f>
        <v>36</v>
      </c>
    </row>
    <row r="37" spans="1:15" x14ac:dyDescent="0.35">
      <c r="A37" s="20" t="str">
        <f>Clean_Data!A31</f>
        <v>EMP4545</v>
      </c>
      <c r="B37" s="20" t="str">
        <f>Clean_Data!B31</f>
        <v>Radha Subramaniam</v>
      </c>
      <c r="C37" s="20" t="str">
        <f>Clean_Data!C31</f>
        <v>Marketing</v>
      </c>
      <c r="D37" s="20" t="str">
        <f>Clean_Data!M31</f>
        <v>Anil Desai</v>
      </c>
      <c r="E37" s="20">
        <f ca="1">DATEDIF(INDEX(Clean_Data[Hire Date],MATCH(Risk_Score!B37,Clean_Data[Full Name],0)),TODAY(),"Y")</f>
        <v>4</v>
      </c>
      <c r="F37" s="20">
        <f ca="1">DATEDIF(Clean_Data!E31, TODAY(), "Y")</f>
        <v>42</v>
      </c>
      <c r="G37" s="20" t="str">
        <f t="shared" ca="1" si="0"/>
        <v>40-49</v>
      </c>
      <c r="H37" s="20">
        <f ca="1">DATEDIF(Clean_Data!F31,TODAY(), "Y")</f>
        <v>4</v>
      </c>
      <c r="I37" s="29">
        <f>Clean_Data!G31</f>
        <v>3</v>
      </c>
      <c r="J37" s="29">
        <f t="shared" ca="1" si="1"/>
        <v>73.333333333333329</v>
      </c>
      <c r="K37" s="29">
        <f t="shared" ca="1" si="2"/>
        <v>80</v>
      </c>
      <c r="L37" s="20">
        <f t="shared" si="3"/>
        <v>50</v>
      </c>
      <c r="M37" s="30">
        <f t="shared" ca="1" si="4"/>
        <v>70.2</v>
      </c>
      <c r="N37" s="20" t="str">
        <f t="shared" ca="1" si="5"/>
        <v>High Risk</v>
      </c>
      <c r="O37" s="26">
        <f ca="1">RANK(M37, $M$8:$M$57, 0) + COUNTIF($M$8:M37, M37) - 1</f>
        <v>2</v>
      </c>
    </row>
    <row r="38" spans="1:15" x14ac:dyDescent="0.35">
      <c r="A38" s="20" t="str">
        <f>Clean_Data!A32</f>
        <v>EMP2680</v>
      </c>
      <c r="B38" s="20" t="str">
        <f>Clean_Data!B32</f>
        <v>Aarav Bose</v>
      </c>
      <c r="C38" s="20" t="str">
        <f>Clean_Data!C32</f>
        <v>Marketing</v>
      </c>
      <c r="D38" s="20" t="str">
        <f>Clean_Data!M32</f>
        <v>Manish Tiwari</v>
      </c>
      <c r="E38" s="20">
        <f ca="1">DATEDIF(INDEX(Clean_Data[Hire Date],MATCH(Risk_Score!B38,Clean_Data[Full Name],0)),TODAY(),"Y")</f>
        <v>8</v>
      </c>
      <c r="F38" s="20">
        <f ca="1">DATEDIF(Clean_Data!E32, TODAY(), "Y")</f>
        <v>41</v>
      </c>
      <c r="G38" s="20" t="str">
        <f t="shared" ca="1" si="0"/>
        <v>40-49</v>
      </c>
      <c r="H38" s="20">
        <f ca="1">DATEDIF(Clean_Data!F32,TODAY(), "Y")</f>
        <v>5</v>
      </c>
      <c r="I38" s="29">
        <f>Clean_Data!G32</f>
        <v>4</v>
      </c>
      <c r="J38" s="29">
        <f t="shared" ca="1" si="1"/>
        <v>46.666666666666664</v>
      </c>
      <c r="K38" s="29">
        <f t="shared" ca="1" si="2"/>
        <v>100</v>
      </c>
      <c r="L38" s="20">
        <f t="shared" si="3"/>
        <v>25</v>
      </c>
      <c r="M38" s="30">
        <f t="shared" ca="1" si="4"/>
        <v>62.6</v>
      </c>
      <c r="N38" s="20" t="str">
        <f t="shared" ca="1" si="5"/>
        <v>Medium Risk</v>
      </c>
      <c r="O38" s="26">
        <f ca="1">RANK(M38, $M$8:$M$57, 0) + COUNTIF($M$8:M38, M38) - 1</f>
        <v>10</v>
      </c>
    </row>
    <row r="39" spans="1:15" x14ac:dyDescent="0.35">
      <c r="A39" s="20" t="str">
        <f>Clean_Data!A33</f>
        <v>EMP4697</v>
      </c>
      <c r="B39" s="20" t="str">
        <f>Clean_Data!B33</f>
        <v>Hema Dutta</v>
      </c>
      <c r="C39" s="20" t="str">
        <f>Clean_Data!C33</f>
        <v>Marketing</v>
      </c>
      <c r="D39" s="20" t="str">
        <f>Clean_Data!M33</f>
        <v>Sunita Bose</v>
      </c>
      <c r="E39" s="20">
        <f ca="1">DATEDIF(INDEX(Clean_Data[Hire Date],MATCH(Risk_Score!B39,Clean_Data[Full Name],0)),TODAY(),"Y")</f>
        <v>8</v>
      </c>
      <c r="F39" s="20">
        <f ca="1">DATEDIF(Clean_Data!E33, TODAY(), "Y")</f>
        <v>48</v>
      </c>
      <c r="G39" s="20" t="str">
        <f t="shared" ca="1" si="0"/>
        <v>40-49</v>
      </c>
      <c r="H39" s="20">
        <f ca="1">DATEDIF(Clean_Data!F33,TODAY(), "Y")</f>
        <v>4</v>
      </c>
      <c r="I39" s="29">
        <f>Clean_Data!G33</f>
        <v>4</v>
      </c>
      <c r="J39" s="29">
        <f t="shared" ca="1" si="1"/>
        <v>46.666666666666664</v>
      </c>
      <c r="K39" s="29">
        <f t="shared" ca="1" si="2"/>
        <v>80</v>
      </c>
      <c r="L39" s="20">
        <f t="shared" si="3"/>
        <v>25</v>
      </c>
      <c r="M39" s="30">
        <f t="shared" ca="1" si="4"/>
        <v>54.6</v>
      </c>
      <c r="N39" s="20" t="str">
        <f t="shared" ca="1" si="5"/>
        <v>Medium Risk</v>
      </c>
      <c r="O39" s="26">
        <f ca="1">RANK(M39, $M$8:$M$57, 0) + COUNTIF($M$8:M39, M39) - 1</f>
        <v>26</v>
      </c>
    </row>
    <row r="40" spans="1:15" x14ac:dyDescent="0.35">
      <c r="A40" s="20" t="str">
        <f>Clean_Data!A34</f>
        <v>EMP5771</v>
      </c>
      <c r="B40" s="20" t="str">
        <f>Clean_Data!B34</f>
        <v>Rohit Saxena</v>
      </c>
      <c r="C40" s="20" t="str">
        <f>Clean_Data!C34</f>
        <v>Marketing</v>
      </c>
      <c r="D40" s="20" t="str">
        <f>Clean_Data!M34</f>
        <v>Preethi Nair</v>
      </c>
      <c r="E40" s="20">
        <f ca="1">DATEDIF(INDEX(Clean_Data[Hire Date],MATCH(Risk_Score!B40,Clean_Data[Full Name],0)),TODAY(),"Y")</f>
        <v>5</v>
      </c>
      <c r="F40" s="20">
        <f ca="1">DATEDIF(Clean_Data!E34, TODAY(), "Y")</f>
        <v>41</v>
      </c>
      <c r="G40" s="20" t="str">
        <f t="shared" ca="1" si="0"/>
        <v>40-49</v>
      </c>
      <c r="H40" s="20">
        <f ca="1">DATEDIF(Clean_Data!F34,TODAY(), "Y")</f>
        <v>3</v>
      </c>
      <c r="I40" s="29">
        <f>Clean_Data!G34</f>
        <v>4</v>
      </c>
      <c r="J40" s="29">
        <f t="shared" ca="1" si="1"/>
        <v>66.666666666666657</v>
      </c>
      <c r="K40" s="29">
        <f t="shared" ca="1" si="2"/>
        <v>60</v>
      </c>
      <c r="L40" s="20">
        <f t="shared" si="3"/>
        <v>25</v>
      </c>
      <c r="M40" s="30">
        <f t="shared" ca="1" si="4"/>
        <v>53.6</v>
      </c>
      <c r="N40" s="20" t="str">
        <f t="shared" ca="1" si="5"/>
        <v>Medium Risk</v>
      </c>
      <c r="O40" s="26">
        <f ca="1">RANK(M40, $M$8:$M$57, 0) + COUNTIF($M$8:M40, M40) - 1</f>
        <v>28</v>
      </c>
    </row>
    <row r="41" spans="1:15" x14ac:dyDescent="0.35">
      <c r="A41" s="20" t="str">
        <f>Clean_Data!A35</f>
        <v>EMP5728</v>
      </c>
      <c r="B41" s="20" t="str">
        <f>Clean_Data!B35</f>
        <v>Alok Yadav</v>
      </c>
      <c r="C41" s="20" t="str">
        <f>Clean_Data!C35</f>
        <v>Legal</v>
      </c>
      <c r="D41" s="20" t="str">
        <f>Clean_Data!M35</f>
        <v>Rajiv Khanna</v>
      </c>
      <c r="E41" s="20">
        <f ca="1">DATEDIF(INDEX(Clean_Data[Hire Date],MATCH(Risk_Score!B41,Clean_Data[Full Name],0)),TODAY(),"Y")</f>
        <v>5</v>
      </c>
      <c r="F41" s="20">
        <f ca="1">DATEDIF(Clean_Data!E35, TODAY(), "Y")</f>
        <v>39</v>
      </c>
      <c r="G41" s="20" t="str">
        <f ca="1">IF(F41 &lt; 30, "Under 30", IF(F41&lt; 40, "30-39", IF(F41&lt; 50, "40-49", "50+") ) )</f>
        <v>30-39</v>
      </c>
      <c r="H41" s="20">
        <f ca="1">DATEDIF(Clean_Data!F35,TODAY(), "Y")</f>
        <v>2</v>
      </c>
      <c r="I41" s="29">
        <f>Clean_Data!G35</f>
        <v>4</v>
      </c>
      <c r="J41" s="29">
        <f t="shared" ca="1" si="1"/>
        <v>66.666666666666657</v>
      </c>
      <c r="K41" s="29">
        <f t="shared" ca="1" si="2"/>
        <v>40</v>
      </c>
      <c r="L41" s="20">
        <f t="shared" si="3"/>
        <v>25</v>
      </c>
      <c r="M41" s="30">
        <f t="shared" ca="1" si="4"/>
        <v>45.6</v>
      </c>
      <c r="N41" s="20" t="str">
        <f t="shared" ca="1" si="5"/>
        <v>Medium Risk</v>
      </c>
      <c r="O41" s="26">
        <f ca="1">RANK(M41, $M$8:$M$57, 0) + COUNTIF($M$8:M41, M41) - 1</f>
        <v>43</v>
      </c>
    </row>
    <row r="42" spans="1:15" x14ac:dyDescent="0.35">
      <c r="A42" s="20" t="str">
        <f>Clean_Data!A36</f>
        <v>EMP5415</v>
      </c>
      <c r="B42" s="20" t="str">
        <f>Clean_Data!B36</f>
        <v>Pranav Singh</v>
      </c>
      <c r="C42" s="20" t="str">
        <f>Clean_Data!C36</f>
        <v>HR</v>
      </c>
      <c r="D42" s="20" t="str">
        <f>Clean_Data!M36</f>
        <v>Sunita Bose</v>
      </c>
      <c r="E42" s="20">
        <f ca="1">DATEDIF(INDEX(Clean_Data[Hire Date],MATCH(Risk_Score!B42,Clean_Data[Full Name],0)),TODAY(),"Y")</f>
        <v>8</v>
      </c>
      <c r="F42" s="20">
        <f ca="1">DATEDIF(Clean_Data!E36, TODAY(), "Y")</f>
        <v>45</v>
      </c>
      <c r="G42" s="20" t="str">
        <f t="shared" ca="1" si="0"/>
        <v>40-49</v>
      </c>
      <c r="H42" s="20">
        <f ca="1">DATEDIF(Clean_Data!F36,TODAY(), "Y")</f>
        <v>3</v>
      </c>
      <c r="I42" s="29">
        <f>Clean_Data!G36</f>
        <v>4</v>
      </c>
      <c r="J42" s="29">
        <f t="shared" ca="1" si="1"/>
        <v>46.666666666666664</v>
      </c>
      <c r="K42" s="29">
        <f t="shared" ca="1" si="2"/>
        <v>60</v>
      </c>
      <c r="L42" s="20">
        <f t="shared" si="3"/>
        <v>25</v>
      </c>
      <c r="M42" s="30">
        <f t="shared" ca="1" si="4"/>
        <v>46.6</v>
      </c>
      <c r="N42" s="20" t="str">
        <f t="shared" ca="1" si="5"/>
        <v>Medium Risk</v>
      </c>
      <c r="O42" s="26">
        <f ca="1">RANK(M42, $M$8:$M$57, 0) + COUNTIF($M$8:M42, M42) - 1</f>
        <v>41</v>
      </c>
    </row>
    <row r="43" spans="1:15" x14ac:dyDescent="0.35">
      <c r="A43" s="20" t="str">
        <f>Clean_Data!A37</f>
        <v>EMP1601</v>
      </c>
      <c r="B43" s="20" t="str">
        <f>Clean_Data!B37</f>
        <v>Bhavna Joshi</v>
      </c>
      <c r="C43" s="20" t="str">
        <f>Clean_Data!C37</f>
        <v>Operations</v>
      </c>
      <c r="D43" s="20" t="str">
        <f>Clean_Data!M37</f>
        <v>Manish Tiwari</v>
      </c>
      <c r="E43" s="20">
        <f ca="1">DATEDIF(INDEX(Clean_Data[Hire Date],MATCH(Risk_Score!B43,Clean_Data[Full Name],0)),TODAY(),"Y")</f>
        <v>11</v>
      </c>
      <c r="F43" s="20">
        <f ca="1">DATEDIF(Clean_Data!E37, TODAY(), "Y")</f>
        <v>45</v>
      </c>
      <c r="G43" s="20" t="str">
        <f t="shared" ca="1" si="0"/>
        <v>40-49</v>
      </c>
      <c r="H43" s="20">
        <f ca="1">DATEDIF(Clean_Data!F37,TODAY(), "Y")</f>
        <v>10</v>
      </c>
      <c r="I43" s="29">
        <f>Clean_Data!G37</f>
        <v>4</v>
      </c>
      <c r="J43" s="29">
        <f t="shared" ca="1" si="1"/>
        <v>26.666666666666668</v>
      </c>
      <c r="K43" s="29">
        <f t="shared" ca="1" si="2"/>
        <v>100</v>
      </c>
      <c r="L43" s="20">
        <f t="shared" si="3"/>
        <v>25</v>
      </c>
      <c r="M43" s="30">
        <f t="shared" ca="1" si="4"/>
        <v>55.6</v>
      </c>
      <c r="N43" s="20" t="str">
        <f t="shared" ca="1" si="5"/>
        <v>Medium Risk</v>
      </c>
      <c r="O43" s="26">
        <f ca="1">RANK(M43, $M$8:$M$57, 0) + COUNTIF($M$8:M43, M43) - 1</f>
        <v>24</v>
      </c>
    </row>
    <row r="44" spans="1:15" x14ac:dyDescent="0.35">
      <c r="A44" s="20" t="str">
        <f>Clean_Data!A38</f>
        <v>EMP8941</v>
      </c>
      <c r="B44" s="20" t="str">
        <f>Clean_Data!B38</f>
        <v>Meera Verma</v>
      </c>
      <c r="C44" s="20" t="str">
        <f>Clean_Data!C38</f>
        <v>Finance</v>
      </c>
      <c r="D44" s="20" t="str">
        <f>Clean_Data!M38</f>
        <v>Sunita Bose</v>
      </c>
      <c r="E44" s="20">
        <f ca="1">DATEDIF(INDEX(Clean_Data[Hire Date],MATCH(Risk_Score!B44,Clean_Data[Full Name],0)),TODAY(),"Y")</f>
        <v>5</v>
      </c>
      <c r="F44" s="20">
        <f ca="1">DATEDIF(Clean_Data!E38, TODAY(), "Y")</f>
        <v>44</v>
      </c>
      <c r="G44" s="20" t="str">
        <f t="shared" ca="1" si="0"/>
        <v>40-49</v>
      </c>
      <c r="H44" s="20">
        <f ca="1">DATEDIF(Clean_Data!F38,TODAY(), "Y")</f>
        <v>3</v>
      </c>
      <c r="I44" s="29">
        <f>Clean_Data!G38</f>
        <v>5</v>
      </c>
      <c r="J44" s="29">
        <f t="shared" ca="1" si="1"/>
        <v>66.666666666666657</v>
      </c>
      <c r="K44" s="29">
        <f t="shared" ca="1" si="2"/>
        <v>60</v>
      </c>
      <c r="L44" s="20">
        <f t="shared" si="3"/>
        <v>0</v>
      </c>
      <c r="M44" s="30">
        <f t="shared" ca="1" si="4"/>
        <v>47.3</v>
      </c>
      <c r="N44" s="20" t="str">
        <f t="shared" ca="1" si="5"/>
        <v>Medium Risk</v>
      </c>
      <c r="O44" s="26">
        <f ca="1">RANK(M44, $M$8:$M$57, 0) + COUNTIF($M$8:M44, M44) - 1</f>
        <v>40</v>
      </c>
    </row>
    <row r="45" spans="1:15" x14ac:dyDescent="0.35">
      <c r="A45" s="20" t="str">
        <f>Clean_Data!A39</f>
        <v>EMP7284</v>
      </c>
      <c r="B45" s="20" t="str">
        <f>Clean_Data!B39</f>
        <v>Amit Chakraborty</v>
      </c>
      <c r="C45" s="20" t="str">
        <f>Clean_Data!C39</f>
        <v>HR</v>
      </c>
      <c r="D45" s="20" t="str">
        <f>Clean_Data!M39</f>
        <v>Siddharth Roy</v>
      </c>
      <c r="E45" s="20">
        <f ca="1">DATEDIF(INDEX(Clean_Data[Hire Date],MATCH(Risk_Score!B45,Clean_Data[Full Name],0)),TODAY(),"Y")</f>
        <v>15</v>
      </c>
      <c r="F45" s="20">
        <f ca="1">DATEDIF(Clean_Data!E39, TODAY(), "Y")</f>
        <v>49</v>
      </c>
      <c r="G45" s="20" t="str">
        <f t="shared" ca="1" si="0"/>
        <v>40-49</v>
      </c>
      <c r="H45" s="20">
        <f ca="1">DATEDIF(Clean_Data!F39,TODAY(), "Y")</f>
        <v>10</v>
      </c>
      <c r="I45" s="29">
        <f>Clean_Data!G39</f>
        <v>1</v>
      </c>
      <c r="J45" s="29">
        <f t="shared" ca="1" si="1"/>
        <v>0</v>
      </c>
      <c r="K45" s="29">
        <f t="shared" ca="1" si="2"/>
        <v>100</v>
      </c>
      <c r="L45" s="20">
        <f t="shared" si="3"/>
        <v>100</v>
      </c>
      <c r="M45" s="30">
        <f t="shared" ca="1" si="4"/>
        <v>65</v>
      </c>
      <c r="N45" s="20" t="str">
        <f t="shared" ca="1" si="5"/>
        <v>Medium Risk</v>
      </c>
      <c r="O45" s="26">
        <f ca="1">RANK(M45, $M$8:$M$57, 0) + COUNTIF($M$8:M45, M45) - 1</f>
        <v>7</v>
      </c>
    </row>
    <row r="46" spans="1:15" x14ac:dyDescent="0.35">
      <c r="A46" s="20" t="str">
        <f>Clean_Data!A40</f>
        <v>EMP4912</v>
      </c>
      <c r="B46" s="20" t="str">
        <f>Clean_Data!B40</f>
        <v>Pranav Nair</v>
      </c>
      <c r="C46" s="20" t="str">
        <f>Clean_Data!C40</f>
        <v>Finance</v>
      </c>
      <c r="D46" s="20" t="str">
        <f>Clean_Data!M40</f>
        <v>Anil Desai</v>
      </c>
      <c r="E46" s="20">
        <f ca="1">DATEDIF(INDEX(Clean_Data[Hire Date],MATCH(Risk_Score!B46,Clean_Data[Full Name],0)),TODAY(),"Y")</f>
        <v>4</v>
      </c>
      <c r="F46" s="20">
        <f ca="1">DATEDIF(Clean_Data!E40, TODAY(), "Y")</f>
        <v>35</v>
      </c>
      <c r="G46" s="20" t="str">
        <f t="shared" ca="1" si="0"/>
        <v>30-39</v>
      </c>
      <c r="H46" s="20">
        <f ca="1">DATEDIF(Clean_Data!F40,TODAY(), "Y")</f>
        <v>2</v>
      </c>
      <c r="I46" s="29">
        <f>Clean_Data!G40</f>
        <v>4</v>
      </c>
      <c r="J46" s="29">
        <f t="shared" ca="1" si="1"/>
        <v>73.333333333333329</v>
      </c>
      <c r="K46" s="29">
        <f t="shared" ca="1" si="2"/>
        <v>40</v>
      </c>
      <c r="L46" s="20">
        <f t="shared" si="3"/>
        <v>25</v>
      </c>
      <c r="M46" s="30">
        <f t="shared" ca="1" si="4"/>
        <v>47.9</v>
      </c>
      <c r="N46" s="20" t="str">
        <f t="shared" ca="1" si="5"/>
        <v>Medium Risk</v>
      </c>
      <c r="O46" s="26">
        <f ca="1">RANK(M46, $M$8:$M$57, 0) + COUNTIF($M$8:M46, M46) - 1</f>
        <v>39</v>
      </c>
    </row>
    <row r="47" spans="1:15" x14ac:dyDescent="0.35">
      <c r="A47" s="20" t="str">
        <f>Clean_Data!A41</f>
        <v>EMP7717</v>
      </c>
      <c r="B47" s="20" t="str">
        <f>Clean_Data!B41</f>
        <v>Lata Tiwari</v>
      </c>
      <c r="C47" s="20" t="str">
        <f>Clean_Data!C41</f>
        <v>Engineering</v>
      </c>
      <c r="D47" s="20" t="str">
        <f>Clean_Data!M41</f>
        <v>Manish Tiwari</v>
      </c>
      <c r="E47" s="20">
        <f ca="1">DATEDIF(INDEX(Clean_Data[Hire Date],MATCH(Risk_Score!B47,Clean_Data[Full Name],0)),TODAY(),"Y")</f>
        <v>8</v>
      </c>
      <c r="F47" s="20">
        <f ca="1">DATEDIF(Clean_Data!E41, TODAY(), "Y")</f>
        <v>49</v>
      </c>
      <c r="G47" s="20" t="str">
        <f t="shared" ca="1" si="0"/>
        <v>40-49</v>
      </c>
      <c r="H47" s="20">
        <f ca="1">DATEDIF(Clean_Data!F41,TODAY(), "Y")</f>
        <v>7</v>
      </c>
      <c r="I47" s="29">
        <f>Clean_Data!G41</f>
        <v>4</v>
      </c>
      <c r="J47" s="29">
        <f t="shared" ca="1" si="1"/>
        <v>46.666666666666664</v>
      </c>
      <c r="K47" s="29">
        <f t="shared" ca="1" si="2"/>
        <v>100</v>
      </c>
      <c r="L47" s="20">
        <f t="shared" si="3"/>
        <v>25</v>
      </c>
      <c r="M47" s="30">
        <f t="shared" ca="1" si="4"/>
        <v>62.6</v>
      </c>
      <c r="N47" s="20" t="str">
        <f t="shared" ca="1" si="5"/>
        <v>Medium Risk</v>
      </c>
      <c r="O47" s="26">
        <f ca="1">RANK(M47, $M$8:$M$57, 0) + COUNTIF($M$8:M47, M47) - 1</f>
        <v>11</v>
      </c>
    </row>
    <row r="48" spans="1:15" x14ac:dyDescent="0.35">
      <c r="A48" s="20" t="str">
        <f>Clean_Data!A42</f>
        <v>EMP2612</v>
      </c>
      <c r="B48" s="20" t="str">
        <f>Clean_Data!B42</f>
        <v>Kapil Bhattacharya</v>
      </c>
      <c r="C48" s="20" t="str">
        <f>Clean_Data!C42</f>
        <v>Engineering</v>
      </c>
      <c r="D48" s="20" t="str">
        <f>Clean_Data!M42</f>
        <v>Manish Tiwari</v>
      </c>
      <c r="E48" s="20">
        <f ca="1">DATEDIF(INDEX(Clean_Data[Hire Date],MATCH(Risk_Score!B48,Clean_Data[Full Name],0)),TODAY(),"Y")</f>
        <v>9</v>
      </c>
      <c r="F48" s="20">
        <f ca="1">DATEDIF(Clean_Data!E42, TODAY(), "Y")</f>
        <v>40</v>
      </c>
      <c r="G48" s="20" t="str">
        <f t="shared" ca="1" si="0"/>
        <v>40-49</v>
      </c>
      <c r="H48" s="20">
        <f ca="1">DATEDIF(Clean_Data!F42,TODAY(), "Y")</f>
        <v>6</v>
      </c>
      <c r="I48" s="29">
        <f>Clean_Data!G42</f>
        <v>3</v>
      </c>
      <c r="J48" s="29">
        <f t="shared" ca="1" si="1"/>
        <v>40</v>
      </c>
      <c r="K48" s="29">
        <f t="shared" ca="1" si="2"/>
        <v>100</v>
      </c>
      <c r="L48" s="20">
        <f t="shared" si="3"/>
        <v>50</v>
      </c>
      <c r="M48" s="30">
        <f t="shared" ca="1" si="4"/>
        <v>66.5</v>
      </c>
      <c r="N48" s="20" t="str">
        <f t="shared" ca="1" si="5"/>
        <v>Medium Risk</v>
      </c>
      <c r="O48" s="26">
        <f ca="1">RANK(M48, $M$8:$M$57, 0) + COUNTIF($M$8:M48, M48) - 1</f>
        <v>5</v>
      </c>
    </row>
    <row r="49" spans="1:15" x14ac:dyDescent="0.35">
      <c r="A49" s="20" t="str">
        <f>Clean_Data!A43</f>
        <v>EMP3344</v>
      </c>
      <c r="B49" s="20" t="str">
        <f>Clean_Data!B43</f>
        <v>Suresh Krishnan</v>
      </c>
      <c r="C49" s="20" t="str">
        <f>Clean_Data!C43</f>
        <v>Marketing</v>
      </c>
      <c r="D49" s="20" t="str">
        <f>Clean_Data!M43</f>
        <v>Geeta Pillai</v>
      </c>
      <c r="E49" s="20">
        <f ca="1">DATEDIF(INDEX(Clean_Data[Hire Date],MATCH(Risk_Score!B49,Clean_Data[Full Name],0)),TODAY(),"Y")</f>
        <v>9</v>
      </c>
      <c r="F49" s="20">
        <f ca="1">DATEDIF(Clean_Data!E43, TODAY(), "Y")</f>
        <v>30</v>
      </c>
      <c r="G49" s="20" t="str">
        <f t="shared" ca="1" si="0"/>
        <v>30-39</v>
      </c>
      <c r="H49" s="20">
        <f ca="1">DATEDIF(Clean_Data!F43,TODAY(), "Y")</f>
        <v>4</v>
      </c>
      <c r="I49" s="29">
        <f>Clean_Data!G43</f>
        <v>3</v>
      </c>
      <c r="J49" s="29">
        <f t="shared" ca="1" si="1"/>
        <v>40</v>
      </c>
      <c r="K49" s="29">
        <f t="shared" ca="1" si="2"/>
        <v>80</v>
      </c>
      <c r="L49" s="20">
        <f t="shared" si="3"/>
        <v>50</v>
      </c>
      <c r="M49" s="30">
        <f t="shared" ca="1" si="4"/>
        <v>58.5</v>
      </c>
      <c r="N49" s="20" t="str">
        <f t="shared" ca="1" si="5"/>
        <v>Medium Risk</v>
      </c>
      <c r="O49" s="26">
        <f ca="1">RANK(M49, $M$8:$M$57, 0) + COUNTIF($M$8:M49, M49) - 1</f>
        <v>19</v>
      </c>
    </row>
    <row r="50" spans="1:15" x14ac:dyDescent="0.35">
      <c r="A50" s="20" t="str">
        <f>Clean_Data!A44</f>
        <v>EMP5847</v>
      </c>
      <c r="B50" s="20" t="str">
        <f>Clean_Data!B44</f>
        <v>Vinod Patel</v>
      </c>
      <c r="C50" s="20" t="str">
        <f>Clean_Data!C44</f>
        <v>Sales</v>
      </c>
      <c r="D50" s="20" t="str">
        <f>Clean_Data!M44</f>
        <v>Siddharth Roy</v>
      </c>
      <c r="E50" s="20">
        <f ca="1">DATEDIF(INDEX(Clean_Data[Hire Date],MATCH(Risk_Score!B50,Clean_Data[Full Name],0)),TODAY(),"Y")</f>
        <v>5</v>
      </c>
      <c r="F50" s="20">
        <f ca="1">DATEDIF(Clean_Data!E44, TODAY(), "Y")</f>
        <v>27</v>
      </c>
      <c r="G50" s="20" t="str">
        <f t="shared" ca="1" si="0"/>
        <v>Under 30</v>
      </c>
      <c r="H50" s="20">
        <f ca="1">DATEDIF(Clean_Data!F44,TODAY(), "Y")</f>
        <v>4</v>
      </c>
      <c r="I50" s="29">
        <f>Clean_Data!G44</f>
        <v>3</v>
      </c>
      <c r="J50" s="29">
        <f t="shared" ca="1" si="1"/>
        <v>66.666666666666657</v>
      </c>
      <c r="K50" s="29">
        <f t="shared" ca="1" si="2"/>
        <v>80</v>
      </c>
      <c r="L50" s="20">
        <f t="shared" si="3"/>
        <v>50</v>
      </c>
      <c r="M50" s="30">
        <f t="shared" ca="1" si="4"/>
        <v>67.8</v>
      </c>
      <c r="N50" s="20" t="str">
        <f t="shared" ca="1" si="5"/>
        <v>Medium Risk</v>
      </c>
      <c r="O50" s="26">
        <f ca="1">RANK(M50, $M$8:$M$57, 0) + COUNTIF($M$8:M50, M50) - 1</f>
        <v>4</v>
      </c>
    </row>
    <row r="51" spans="1:15" x14ac:dyDescent="0.35">
      <c r="A51" s="20" t="str">
        <f>Clean_Data!A45</f>
        <v>EMP1645</v>
      </c>
      <c r="B51" s="20" t="str">
        <f>Clean_Data!B45</f>
        <v>Ritu Menon</v>
      </c>
      <c r="C51" s="20" t="str">
        <f>Clean_Data!C45</f>
        <v>Sales</v>
      </c>
      <c r="D51" s="20" t="str">
        <f>Clean_Data!M45</f>
        <v>Anil Desai</v>
      </c>
      <c r="E51" s="20">
        <f ca="1">DATEDIF(INDEX(Clean_Data[Hire Date],MATCH(Risk_Score!B51,Clean_Data[Full Name],0)),TODAY(),"Y")</f>
        <v>6</v>
      </c>
      <c r="F51" s="20">
        <f ca="1">DATEDIF(Clean_Data!E45, TODAY(), "Y")</f>
        <v>33</v>
      </c>
      <c r="G51" s="20" t="str">
        <f t="shared" ca="1" si="0"/>
        <v>30-39</v>
      </c>
      <c r="H51" s="20">
        <f ca="1">DATEDIF(Clean_Data!F45,TODAY(), "Y")</f>
        <v>3</v>
      </c>
      <c r="I51" s="29">
        <f>Clean_Data!G45</f>
        <v>3</v>
      </c>
      <c r="J51" s="29">
        <f t="shared" ca="1" si="1"/>
        <v>60</v>
      </c>
      <c r="K51" s="29">
        <f t="shared" ca="1" si="2"/>
        <v>60</v>
      </c>
      <c r="L51" s="20">
        <f t="shared" si="3"/>
        <v>50</v>
      </c>
      <c r="M51" s="30">
        <f t="shared" ca="1" si="4"/>
        <v>57.5</v>
      </c>
      <c r="N51" s="20" t="str">
        <f t="shared" ca="1" si="5"/>
        <v>Medium Risk</v>
      </c>
      <c r="O51" s="26">
        <f ca="1">RANK(M51, $M$8:$M$57, 0) + COUNTIF($M$8:M51, M51) - 1</f>
        <v>21</v>
      </c>
    </row>
    <row r="52" spans="1:15" x14ac:dyDescent="0.35">
      <c r="A52" s="20" t="str">
        <f>Clean_Data!A46</f>
        <v>EMP2886</v>
      </c>
      <c r="B52" s="20" t="str">
        <f>Clean_Data!B46</f>
        <v>Bhavna Kumar</v>
      </c>
      <c r="C52" s="20" t="str">
        <f>Clean_Data!C46</f>
        <v>HR</v>
      </c>
      <c r="D52" s="20" t="str">
        <f>Clean_Data!M46</f>
        <v>Manish Tiwari</v>
      </c>
      <c r="E52" s="20">
        <f ca="1">DATEDIF(INDEX(Clean_Data[Hire Date],MATCH(Risk_Score!B52,Clean_Data[Full Name],0)),TODAY(),"Y")</f>
        <v>4</v>
      </c>
      <c r="F52" s="20">
        <f ca="1">DATEDIF(Clean_Data!E46, TODAY(), "Y")</f>
        <v>46</v>
      </c>
      <c r="G52" s="20" t="str">
        <f t="shared" ca="1" si="0"/>
        <v>40-49</v>
      </c>
      <c r="H52" s="20">
        <f ca="1">DATEDIF(Clean_Data!F46,TODAY(), "Y")</f>
        <v>2</v>
      </c>
      <c r="I52" s="29">
        <f>Clean_Data!G46</f>
        <v>2</v>
      </c>
      <c r="J52" s="29">
        <f t="shared" ca="1" si="1"/>
        <v>73.333333333333329</v>
      </c>
      <c r="K52" s="29">
        <f t="shared" ca="1" si="2"/>
        <v>40</v>
      </c>
      <c r="L52" s="20">
        <f t="shared" si="3"/>
        <v>75</v>
      </c>
      <c r="M52" s="30">
        <f t="shared" ca="1" si="4"/>
        <v>60.4</v>
      </c>
      <c r="N52" s="20" t="str">
        <f t="shared" ca="1" si="5"/>
        <v>Medium Risk</v>
      </c>
      <c r="O52" s="26">
        <f ca="1">RANK(M52, $M$8:$M$57, 0) + COUNTIF($M$8:M52, M52) - 1</f>
        <v>15</v>
      </c>
    </row>
    <row r="53" spans="1:15" x14ac:dyDescent="0.35">
      <c r="A53" s="20" t="str">
        <f>Clean_Data!A47</f>
        <v>EMP4830</v>
      </c>
      <c r="B53" s="20" t="str">
        <f>Clean_Data!B47</f>
        <v>Gaurav Verma</v>
      </c>
      <c r="C53" s="20" t="str">
        <f>Clean_Data!C47</f>
        <v>Operations</v>
      </c>
      <c r="D53" s="20" t="str">
        <f>Clean_Data!M47</f>
        <v>Sunita Bose</v>
      </c>
      <c r="E53" s="20">
        <f ca="1">DATEDIF(INDEX(Clean_Data[Hire Date],MATCH(Risk_Score!B53,Clean_Data[Full Name],0)),TODAY(),"Y")</f>
        <v>7</v>
      </c>
      <c r="F53" s="20">
        <f ca="1">DATEDIF(Clean_Data!E47, TODAY(), "Y")</f>
        <v>30</v>
      </c>
      <c r="G53" s="20" t="str">
        <f t="shared" ca="1" si="0"/>
        <v>30-39</v>
      </c>
      <c r="H53" s="20">
        <f ca="1">DATEDIF(Clean_Data!F47,TODAY(), "Y")</f>
        <v>2</v>
      </c>
      <c r="I53" s="29">
        <f>Clean_Data!G47</f>
        <v>4</v>
      </c>
      <c r="J53" s="29">
        <f t="shared" ca="1" si="1"/>
        <v>53.333333333333336</v>
      </c>
      <c r="K53" s="29">
        <f t="shared" ca="1" si="2"/>
        <v>40</v>
      </c>
      <c r="L53" s="20">
        <f t="shared" si="3"/>
        <v>25</v>
      </c>
      <c r="M53" s="30">
        <f t="shared" ca="1" si="4"/>
        <v>40.9</v>
      </c>
      <c r="N53" s="20" t="str">
        <f t="shared" ca="1" si="5"/>
        <v>Low Risk</v>
      </c>
      <c r="O53" s="26">
        <f ca="1">RANK(M53, $M$8:$M$57, 0) + COUNTIF($M$8:M53, M53) - 1</f>
        <v>48</v>
      </c>
    </row>
    <row r="54" spans="1:15" x14ac:dyDescent="0.35">
      <c r="A54" s="20" t="str">
        <f>Clean_Data!A48</f>
        <v>EMP9850</v>
      </c>
      <c r="B54" s="20" t="str">
        <f>Clean_Data!B48</f>
        <v>Tarun Sen</v>
      </c>
      <c r="C54" s="20" t="str">
        <f>Clean_Data!C48</f>
        <v>HR</v>
      </c>
      <c r="D54" s="20" t="str">
        <f>Clean_Data!M48</f>
        <v>Divya Reddy</v>
      </c>
      <c r="E54" s="20">
        <f ca="1">DATEDIF(INDEX(Clean_Data[Hire Date],MATCH(Risk_Score!B54,Clean_Data[Full Name],0)),TODAY(),"Y")</f>
        <v>9</v>
      </c>
      <c r="F54" s="20">
        <f ca="1">DATEDIF(Clean_Data!E48, TODAY(), "Y")</f>
        <v>46</v>
      </c>
      <c r="G54" s="20" t="str">
        <f t="shared" ca="1" si="0"/>
        <v>40-49</v>
      </c>
      <c r="H54" s="20">
        <f ca="1">DATEDIF(Clean_Data!F48,TODAY(), "Y")</f>
        <v>7</v>
      </c>
      <c r="I54" s="29">
        <f>Clean_Data!G48</f>
        <v>3</v>
      </c>
      <c r="J54" s="29">
        <f t="shared" ca="1" si="1"/>
        <v>40</v>
      </c>
      <c r="K54" s="29">
        <f t="shared" ca="1" si="2"/>
        <v>100</v>
      </c>
      <c r="L54" s="20">
        <f t="shared" si="3"/>
        <v>50</v>
      </c>
      <c r="M54" s="30">
        <f t="shared" ca="1" si="4"/>
        <v>66.5</v>
      </c>
      <c r="N54" s="20" t="str">
        <f t="shared" ca="1" si="5"/>
        <v>Medium Risk</v>
      </c>
      <c r="O54" s="26">
        <f ca="1">RANK(M54, $M$8:$M$57, 0) + COUNTIF($M$8:M54, M54) - 1</f>
        <v>6</v>
      </c>
    </row>
    <row r="55" spans="1:15" x14ac:dyDescent="0.35">
      <c r="A55" s="20" t="str">
        <f>Clean_Data!A49</f>
        <v>EMP8450</v>
      </c>
      <c r="B55" s="20" t="str">
        <f>Clean_Data!B49</f>
        <v>Ananya Jha</v>
      </c>
      <c r="C55" s="20" t="str">
        <f>Clean_Data!C49</f>
        <v>Finance</v>
      </c>
      <c r="D55" s="20" t="str">
        <f>Clean_Data!M49</f>
        <v>Preethi Nair</v>
      </c>
      <c r="E55" s="20">
        <f ca="1">DATEDIF(INDEX(Clean_Data[Hire Date],MATCH(Risk_Score!B55,Clean_Data[Full Name],0)),TODAY(),"Y")</f>
        <v>5</v>
      </c>
      <c r="F55" s="20">
        <f ca="1">DATEDIF(Clean_Data!E49, TODAY(), "Y")</f>
        <v>28</v>
      </c>
      <c r="G55" s="20" t="str">
        <f t="shared" ca="1" si="0"/>
        <v>Under 30</v>
      </c>
      <c r="H55" s="20">
        <f ca="1">DATEDIF(Clean_Data!F49,TODAY(), "Y")</f>
        <v>3</v>
      </c>
      <c r="I55" s="29">
        <f>Clean_Data!G49</f>
        <v>4</v>
      </c>
      <c r="J55" s="29">
        <f t="shared" ca="1" si="1"/>
        <v>66.666666666666657</v>
      </c>
      <c r="K55" s="29">
        <f t="shared" ca="1" si="2"/>
        <v>60</v>
      </c>
      <c r="L55" s="20">
        <f t="shared" si="3"/>
        <v>25</v>
      </c>
      <c r="M55" s="30">
        <f t="shared" ca="1" si="4"/>
        <v>53.6</v>
      </c>
      <c r="N55" s="20" t="str">
        <f t="shared" ca="1" si="5"/>
        <v>Medium Risk</v>
      </c>
      <c r="O55" s="26">
        <f ca="1">RANK(M55, $M$8:$M$57, 0) + COUNTIF($M$8:M55, M55) - 1</f>
        <v>29</v>
      </c>
    </row>
    <row r="56" spans="1:15" x14ac:dyDescent="0.35">
      <c r="A56" s="20" t="str">
        <f>Clean_Data!A50</f>
        <v>EMP5106</v>
      </c>
      <c r="B56" s="20" t="str">
        <f>Clean_Data!B50</f>
        <v>Divya Yadav</v>
      </c>
      <c r="C56" s="20" t="str">
        <f>Clean_Data!C50</f>
        <v>Sales</v>
      </c>
      <c r="D56" s="20" t="str">
        <f>Clean_Data!M50</f>
        <v>Manish Tiwari</v>
      </c>
      <c r="E56" s="20">
        <f ca="1">DATEDIF(INDEX(Clean_Data[Hire Date],MATCH(Risk_Score!B56,Clean_Data[Full Name],0)),TODAY(),"Y")</f>
        <v>13</v>
      </c>
      <c r="F56" s="20">
        <f ca="1">DATEDIF(Clean_Data!E50, TODAY(), "Y")</f>
        <v>42</v>
      </c>
      <c r="G56" s="20" t="str">
        <f t="shared" ca="1" si="0"/>
        <v>40-49</v>
      </c>
      <c r="H56" s="20">
        <f ca="1">DATEDIF(Clean_Data!F50,TODAY(), "Y")</f>
        <v>13</v>
      </c>
      <c r="I56" s="29">
        <f>Clean_Data!G50</f>
        <v>4</v>
      </c>
      <c r="J56" s="29">
        <f t="shared" ca="1" si="1"/>
        <v>13.333333333333334</v>
      </c>
      <c r="K56" s="29">
        <f t="shared" ca="1" si="2"/>
        <v>100</v>
      </c>
      <c r="L56" s="20">
        <f t="shared" si="3"/>
        <v>25</v>
      </c>
      <c r="M56" s="30">
        <f t="shared" ca="1" si="4"/>
        <v>50.9</v>
      </c>
      <c r="N56" s="20" t="str">
        <f t="shared" ca="1" si="5"/>
        <v>Medium Risk</v>
      </c>
      <c r="O56" s="26">
        <f ca="1">RANK(M56, $M$8:$M$57, 0) + COUNTIF($M$8:M56, M56) - 1</f>
        <v>34</v>
      </c>
    </row>
    <row r="57" spans="1:15" x14ac:dyDescent="0.35">
      <c r="A57" s="20" t="str">
        <f>Clean_Data!A51</f>
        <v>EMP9543</v>
      </c>
      <c r="B57" s="20" t="str">
        <f>Clean_Data!B51</f>
        <v>Ritu Krishnan</v>
      </c>
      <c r="C57" s="20" t="str">
        <f>Clean_Data!C51</f>
        <v>Sales</v>
      </c>
      <c r="D57" s="20" t="str">
        <f>Clean_Data!M51</f>
        <v>Sunita Bose</v>
      </c>
      <c r="E57" s="20">
        <f ca="1">DATEDIF(INDEX(Clean_Data[Hire Date],MATCH(Risk_Score!B57,Clean_Data[Full Name],0)),TODAY(),"Y")</f>
        <v>15</v>
      </c>
      <c r="F57" s="20">
        <f ca="1">DATEDIF(Clean_Data!E51, TODAY(), "Y")</f>
        <v>49</v>
      </c>
      <c r="G57" s="20" t="str">
        <f t="shared" ca="1" si="0"/>
        <v>40-49</v>
      </c>
      <c r="H57" s="20">
        <f ca="1">DATEDIF(Clean_Data!F51,TODAY(), "Y")</f>
        <v>14</v>
      </c>
      <c r="I57" s="29">
        <f>Clean_Data!G51</f>
        <v>5</v>
      </c>
      <c r="J57" s="29">
        <f t="shared" ca="1" si="1"/>
        <v>0</v>
      </c>
      <c r="K57" s="29">
        <f t="shared" ca="1" si="2"/>
        <v>100</v>
      </c>
      <c r="L57" s="20">
        <f t="shared" si="3"/>
        <v>0</v>
      </c>
      <c r="M57" s="30">
        <f t="shared" ca="1" si="4"/>
        <v>40</v>
      </c>
      <c r="N57" s="20" t="str">
        <f t="shared" ca="1" si="5"/>
        <v>Low Risk</v>
      </c>
      <c r="O57" s="26">
        <f ca="1">RANK(M57, $M$8:$M$57, 0) + COUNTIF($M$8:M57, M57) - 1</f>
        <v>50</v>
      </c>
    </row>
    <row r="58" spans="1:15" x14ac:dyDescent="0.35">
      <c r="A58" s="8"/>
      <c r="F58" s="8"/>
    </row>
    <row r="59" spans="1:15" x14ac:dyDescent="0.35">
      <c r="A59" s="8"/>
    </row>
    <row r="60" spans="1:15" x14ac:dyDescent="0.35">
      <c r="A60" s="8"/>
    </row>
    <row r="61" spans="1:15" x14ac:dyDescent="0.35">
      <c r="A61" s="8"/>
    </row>
    <row r="62" spans="1:15" x14ac:dyDescent="0.35">
      <c r="A62" s="8"/>
    </row>
    <row r="63" spans="1:15" x14ac:dyDescent="0.35">
      <c r="A63" s="8"/>
    </row>
    <row r="64" spans="1:15" x14ac:dyDescent="0.35">
      <c r="A64" s="8"/>
    </row>
    <row r="65" spans="1:1" x14ac:dyDescent="0.35">
      <c r="A65" s="8"/>
    </row>
    <row r="66" spans="1:1" x14ac:dyDescent="0.35">
      <c r="A66" s="8"/>
    </row>
    <row r="67" spans="1:1" x14ac:dyDescent="0.35">
      <c r="A67" s="8"/>
    </row>
    <row r="68" spans="1:1" x14ac:dyDescent="0.35">
      <c r="A68" s="8"/>
    </row>
    <row r="69" spans="1:1" x14ac:dyDescent="0.35">
      <c r="A69" s="8"/>
    </row>
    <row r="70" spans="1:1" x14ac:dyDescent="0.35">
      <c r="A70" s="8"/>
    </row>
    <row r="71" spans="1:1" x14ac:dyDescent="0.35">
      <c r="A71" s="8"/>
    </row>
    <row r="72" spans="1:1" x14ac:dyDescent="0.35">
      <c r="A72" s="8"/>
    </row>
    <row r="73" spans="1:1" x14ac:dyDescent="0.35">
      <c r="A73" s="8"/>
    </row>
    <row r="74" spans="1:1" x14ac:dyDescent="0.35">
      <c r="A74" s="8"/>
    </row>
    <row r="75" spans="1:1" x14ac:dyDescent="0.35">
      <c r="A75" s="8"/>
    </row>
    <row r="76" spans="1:1" x14ac:dyDescent="0.35">
      <c r="A76" s="8"/>
    </row>
    <row r="77" spans="1:1" x14ac:dyDescent="0.35">
      <c r="A77" s="8"/>
    </row>
    <row r="78" spans="1:1" x14ac:dyDescent="0.35">
      <c r="A78" s="8"/>
    </row>
    <row r="79" spans="1:1" x14ac:dyDescent="0.35">
      <c r="A79" s="8"/>
    </row>
    <row r="80" spans="1:1" x14ac:dyDescent="0.35">
      <c r="A80" s="8"/>
    </row>
    <row r="81" spans="1:1" x14ac:dyDescent="0.35">
      <c r="A81" s="8"/>
    </row>
    <row r="82" spans="1:1" x14ac:dyDescent="0.35">
      <c r="A82" s="8"/>
    </row>
  </sheetData>
  <mergeCells count="1">
    <mergeCell ref="A1:E1"/>
  </mergeCells>
  <conditionalFormatting sqref="M8:M57">
    <cfRule type="colorScale" priority="1">
      <colorScale>
        <cfvo type="min"/>
        <cfvo type="max"/>
        <color rgb="FFF8696B"/>
        <color rgb="FFFCFCFF"/>
      </colorScale>
    </cfRule>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Q27"/>
  <sheetViews>
    <sheetView topLeftCell="A2" zoomScale="80" zoomScaleNormal="80" workbookViewId="0">
      <selection activeCell="N5" sqref="N5"/>
    </sheetView>
  </sheetViews>
  <sheetFormatPr defaultRowHeight="14.5" x14ac:dyDescent="0.35"/>
  <cols>
    <col min="1" max="1" width="5.453125" bestFit="1" customWidth="1"/>
    <col min="2" max="2" width="12.1796875" bestFit="1" customWidth="1"/>
    <col min="3" max="3" width="18.36328125" bestFit="1" customWidth="1"/>
    <col min="4" max="4" width="12.54296875" style="8" bestFit="1" customWidth="1"/>
    <col min="5" max="5" width="11.90625" bestFit="1" customWidth="1"/>
    <col min="6" max="6" width="11.81640625" bestFit="1" customWidth="1"/>
    <col min="7" max="7" width="9.36328125" bestFit="1" customWidth="1"/>
    <col min="8" max="8" width="14.453125" bestFit="1" customWidth="1"/>
    <col min="9" max="10" width="12.7265625" bestFit="1" customWidth="1"/>
    <col min="11" max="11" width="16.6328125" bestFit="1" customWidth="1"/>
    <col min="12" max="13" width="10.08984375" bestFit="1" customWidth="1"/>
    <col min="14" max="14" width="12.54296875" bestFit="1" customWidth="1"/>
  </cols>
  <sheetData>
    <row r="1" spans="1:17" ht="28.5" x14ac:dyDescent="0.65">
      <c r="A1" s="55" t="s">
        <v>341</v>
      </c>
      <c r="B1" s="55"/>
      <c r="C1" s="55"/>
      <c r="D1" s="55"/>
      <c r="E1" s="55"/>
      <c r="F1" s="55"/>
      <c r="G1" s="55"/>
      <c r="H1" s="55"/>
      <c r="I1" s="55"/>
      <c r="J1" s="55"/>
      <c r="K1" s="55"/>
      <c r="L1" s="55"/>
      <c r="M1" s="55"/>
      <c r="N1" s="55"/>
      <c r="O1" s="42"/>
      <c r="P1" s="42"/>
      <c r="Q1" s="42"/>
    </row>
    <row r="4" spans="1:17" x14ac:dyDescent="0.35">
      <c r="B4" s="56" t="s">
        <v>342</v>
      </c>
      <c r="C4" s="56"/>
      <c r="D4" s="36"/>
      <c r="E4" s="58" t="s">
        <v>343</v>
      </c>
      <c r="F4" s="58"/>
      <c r="H4" s="60" t="s">
        <v>344</v>
      </c>
      <c r="I4" s="60"/>
      <c r="K4" s="53" t="s">
        <v>345</v>
      </c>
      <c r="L4" s="53"/>
      <c r="N4" s="38" t="s">
        <v>346</v>
      </c>
    </row>
    <row r="5" spans="1:17" ht="21" x14ac:dyDescent="0.5">
      <c r="B5" s="57">
        <f>COUNTA(Risk_Score!A8:A57)</f>
        <v>50</v>
      </c>
      <c r="C5" s="57"/>
      <c r="D5" s="35"/>
      <c r="E5" s="59">
        <f ca="1">COUNTIF(Risk_Score!N8:N57, "High Risk")</f>
        <v>2</v>
      </c>
      <c r="F5" s="59"/>
      <c r="H5" s="61">
        <f ca="1">COUNTIF(Risk_Score!N8:N57, "Medium Risk")</f>
        <v>42</v>
      </c>
      <c r="I5" s="61"/>
      <c r="K5" s="54">
        <f ca="1">COUNTIF(Risk_Score!N8:N57, "Low Risk")</f>
        <v>6</v>
      </c>
      <c r="L5" s="54"/>
      <c r="N5" s="39">
        <f ca="1">AVERAGE(Risk_Score!M8:M57)</f>
        <v>55.135999999999996</v>
      </c>
    </row>
    <row r="7" spans="1:17" s="24" customFormat="1" ht="15.5" x14ac:dyDescent="0.35">
      <c r="A7" s="37" t="s">
        <v>347</v>
      </c>
      <c r="B7" s="37" t="s">
        <v>348</v>
      </c>
      <c r="C7" s="37" t="s">
        <v>349</v>
      </c>
      <c r="D7" s="37" t="s">
        <v>352</v>
      </c>
      <c r="E7" s="37" t="s">
        <v>2</v>
      </c>
      <c r="F7" s="37" t="s">
        <v>351</v>
      </c>
      <c r="G7" s="37" t="s">
        <v>331</v>
      </c>
      <c r="H7" s="37" t="s">
        <v>340</v>
      </c>
      <c r="I7" s="37" t="s">
        <v>332</v>
      </c>
      <c r="J7" s="37" t="s">
        <v>333</v>
      </c>
      <c r="K7" s="37" t="s">
        <v>334</v>
      </c>
      <c r="L7" s="37" t="s">
        <v>337</v>
      </c>
      <c r="M7" s="37" t="s">
        <v>338</v>
      </c>
      <c r="N7" s="37" t="s">
        <v>339</v>
      </c>
    </row>
    <row r="8" spans="1:17" x14ac:dyDescent="0.35">
      <c r="A8" s="43">
        <v>1</v>
      </c>
      <c r="B8" s="40" t="str">
        <f ca="1">INDEX(Risk_Score!$A$8:$A$57, MATCH(1, Risk_Score!$O$8:$O$57, 0))</f>
        <v>EMP7211</v>
      </c>
      <c r="C8" s="40" t="str">
        <f ca="1">INDEX(Risk_Score!$B$8:$B$57, MATCH(1, Risk_Score!$O$8:$O$57, 0))</f>
        <v>Geeta Trivedi</v>
      </c>
      <c r="D8" s="40" t="str">
        <f ca="1">INDEX(Risk_Score!$D$8:$D$57, MATCH(1, Risk_Score!$O$8:$O$57, 0))</f>
        <v>Geeta Pillai</v>
      </c>
      <c r="E8" s="40" t="str">
        <f ca="1">INDEX(Risk_Score!$C$8:$C$57, MATCH(1, Risk_Score!$O$8:$O$57, 0))</f>
        <v>HR</v>
      </c>
      <c r="F8" s="40">
        <f ca="1">INDEX(Risk_Score!$E$8:$E$57, MATCH(1, Risk_Score!$O$8:$O$57, 0))</f>
        <v>6</v>
      </c>
      <c r="G8" s="40" t="str">
        <f ca="1">INDEX(Risk_Score!$G$8:$G$57, MATCH(1, Risk_Score!$O$8:$O$57, 0))</f>
        <v>40-49</v>
      </c>
      <c r="H8" s="40">
        <f ca="1">INDEX(Risk_Score!$H$8:$H$57, MATCH(1, Risk_Score!$O$8:$O$57, 0))</f>
        <v>6</v>
      </c>
      <c r="I8" s="40">
        <f ca="1">INDEX(Risk_Score!$I$8:$I$57, MATCH(1, Risk_Score!$O$8:$O$57, 0))</f>
        <v>3</v>
      </c>
      <c r="J8" s="41">
        <f ca="1">INDEX(Risk_Score!$J$8:$J$57, MATCH(1, Risk_Score!$O$8:$O$57, 0))</f>
        <v>60</v>
      </c>
      <c r="K8" s="40">
        <f ca="1">INDEX(Risk_Score!$K$8:$K$57, MATCH(1, Risk_Score!$O$8:$O$57, 0))</f>
        <v>100</v>
      </c>
      <c r="L8" s="40">
        <f ca="1">INDEX(Risk_Score!$L$8:$L$57, MATCH(1, Risk_Score!$O$8:$O$57, 0))</f>
        <v>50</v>
      </c>
      <c r="M8" s="40">
        <f ca="1">INDEX(Risk_Score!$M$8:$M$57, MATCH(1, Risk_Score!$O$8:$O$57, 0))</f>
        <v>73.5</v>
      </c>
      <c r="N8" s="40" t="str">
        <f ca="1">INDEX(Risk_Score!$N$8:$N$57, MATCH(1, Risk_Score!$O$8:$O$57, 0))</f>
        <v>High Risk</v>
      </c>
    </row>
    <row r="9" spans="1:17" x14ac:dyDescent="0.35">
      <c r="A9" s="43">
        <v>2</v>
      </c>
      <c r="B9" s="40" t="str">
        <f ca="1">INDEX(Risk_Score!$A$8:$A$57, MATCH(2, Risk_Score!$O$8:$O$57, 0))</f>
        <v>EMP4545</v>
      </c>
      <c r="C9" s="40" t="str">
        <f ca="1">INDEX(Risk_Score!$B$8:$B$57, MATCH(2, Risk_Score!$O$8:$O$57, 0))</f>
        <v>Radha Subramaniam</v>
      </c>
      <c r="D9" s="40" t="str">
        <f ca="1">INDEX(Risk_Score!$D$8:$D$57, MATCH(2, Risk_Score!$O$8:$O$57, 0))</f>
        <v>Anil Desai</v>
      </c>
      <c r="E9" s="40" t="str">
        <f ca="1">INDEX(Risk_Score!$C$8:$C$57, MATCH(2, Risk_Score!$O$8:$O$57, 0))</f>
        <v>Marketing</v>
      </c>
      <c r="F9" s="40">
        <f ca="1">INDEX(Risk_Score!$E$8:$E$57, MATCH(2, Risk_Score!$O$8:$O$57, 0))</f>
        <v>4</v>
      </c>
      <c r="G9" s="40" t="str">
        <f ca="1">INDEX(Risk_Score!$G$8:$G$57, MATCH(2, Risk_Score!$O$8:$O$57, 0))</f>
        <v>40-49</v>
      </c>
      <c r="H9" s="40">
        <f ca="1">INDEX(Risk_Score!$H$8:$H$57, MATCH(2, Risk_Score!$O$8:$O$57, 0))</f>
        <v>4</v>
      </c>
      <c r="I9" s="40">
        <f ca="1">INDEX(Risk_Score!$I$8:$I$57, MATCH(2, Risk_Score!$O$8:$O$57, 0))</f>
        <v>3</v>
      </c>
      <c r="J9" s="41">
        <f ca="1">INDEX(Risk_Score!$J$8:$J$57, MATCH(2, Risk_Score!$O$8:$O$57, 0))</f>
        <v>73.333333333333329</v>
      </c>
      <c r="K9" s="40">
        <f ca="1">INDEX(Risk_Score!$K$8:$K$57, MATCH(2, Risk_Score!$O$8:$O$57, 0))</f>
        <v>80</v>
      </c>
      <c r="L9" s="40">
        <f ca="1">INDEX(Risk_Score!$L$8:$L$57, MATCH(2, Risk_Score!$O$8:$O$57, 0))</f>
        <v>50</v>
      </c>
      <c r="M9" s="40">
        <f ca="1">INDEX(Risk_Score!$M$8:$M$57, MATCH(2, Risk_Score!$O$8:$O$57, 0))</f>
        <v>70.2</v>
      </c>
      <c r="N9" s="40" t="str">
        <f ca="1">INDEX(Risk_Score!$N$8:$N$57, MATCH(2, Risk_Score!$O$8:$O$57, 0))</f>
        <v>High Risk</v>
      </c>
    </row>
    <row r="10" spans="1:17" x14ac:dyDescent="0.35">
      <c r="A10" s="43">
        <v>3</v>
      </c>
      <c r="B10" s="40" t="str">
        <f ca="1">INDEX(Risk_Score!$A$8:$A$57, MATCH(3, Risk_Score!$O$8:$O$57, 0))</f>
        <v>EMP6491</v>
      </c>
      <c r="C10" s="40" t="str">
        <f ca="1">INDEX(Risk_Score!$B$8:$B$57, MATCH(3, Risk_Score!$O$8:$O$57, 0))</f>
        <v>Ananya Desai</v>
      </c>
      <c r="D10" s="40" t="str">
        <f ca="1">INDEX(Risk_Score!$D$8:$D$57, MATCH(3, Risk_Score!$O$8:$O$57, 0))</f>
        <v>Sunita Bose</v>
      </c>
      <c r="E10" s="40" t="str">
        <f ca="1">INDEX(Risk_Score!$C$8:$C$57, MATCH(3, Risk_Score!$O$8:$O$57, 0))</f>
        <v>Finance</v>
      </c>
      <c r="F10" s="40">
        <f ca="1">INDEX(Risk_Score!$E$8:$E$57, MATCH(3, Risk_Score!$O$8:$O$57, 0))</f>
        <v>5</v>
      </c>
      <c r="G10" s="40" t="str">
        <f ca="1">INDEX(Risk_Score!$G$8:$G$57, MATCH(3, Risk_Score!$O$8:$O$57, 0))</f>
        <v>30-39</v>
      </c>
      <c r="H10" s="40">
        <f ca="1">INDEX(Risk_Score!$H$8:$H$57, MATCH(3, Risk_Score!$O$8:$O$57, 0))</f>
        <v>5</v>
      </c>
      <c r="I10" s="40">
        <f ca="1">INDEX(Risk_Score!$I$8:$I$57, MATCH(3, Risk_Score!$O$8:$O$57, 0))</f>
        <v>4</v>
      </c>
      <c r="J10" s="41">
        <f ca="1">INDEX(Risk_Score!$J$8:$J$57, MATCH(3, Risk_Score!$O$8:$O$57, 0))</f>
        <v>66.666666666666657</v>
      </c>
      <c r="K10" s="40">
        <f ca="1">INDEX(Risk_Score!$K$8:$K$57, MATCH(3, Risk_Score!$O$8:$O$57, 0))</f>
        <v>100</v>
      </c>
      <c r="L10" s="40">
        <f ca="1">INDEX(Risk_Score!$L$8:$L$57, MATCH(3, Risk_Score!$O$8:$O$57, 0))</f>
        <v>25</v>
      </c>
      <c r="M10" s="40">
        <f ca="1">INDEX(Risk_Score!$M$8:$M$57, MATCH(3, Risk_Score!$O$8:$O$57, 0))</f>
        <v>69.599999999999994</v>
      </c>
      <c r="N10" s="40" t="str">
        <f ca="1">INDEX(Risk_Score!$N$8:$N$57, MATCH(3, Risk_Score!$O$8:$O$57, 0))</f>
        <v>Medium Risk</v>
      </c>
    </row>
    <row r="11" spans="1:17" x14ac:dyDescent="0.35">
      <c r="A11" s="43">
        <v>4</v>
      </c>
      <c r="B11" s="40" t="str">
        <f ca="1">INDEX(Risk_Score!$A$8:$A$57, MATCH(4, Risk_Score!$O$8:$O$57, 0))</f>
        <v>EMP5847</v>
      </c>
      <c r="C11" s="40" t="str">
        <f ca="1">INDEX(Risk_Score!$B$8:$B$57, MATCH(4, Risk_Score!$O$8:$O$57, 0))</f>
        <v>Vinod Patel</v>
      </c>
      <c r="D11" s="40" t="str">
        <f ca="1">INDEX(Risk_Score!$D$8:$D$57, MATCH(4, Risk_Score!$O$8:$O$57, 0))</f>
        <v>Siddharth Roy</v>
      </c>
      <c r="E11" s="40" t="str">
        <f ca="1">INDEX(Risk_Score!$C$8:$C$57, MATCH(4, Risk_Score!$O$8:$O$57, 0))</f>
        <v>Sales</v>
      </c>
      <c r="F11" s="40">
        <f ca="1">INDEX(Risk_Score!$E$8:$E$57, MATCH(4, Risk_Score!$O$8:$O$57, 0))</f>
        <v>5</v>
      </c>
      <c r="G11" s="40" t="str">
        <f ca="1">INDEX(Risk_Score!$G$8:$G$57, MATCH(4, Risk_Score!$O$8:$O$57, 0))</f>
        <v>Under 30</v>
      </c>
      <c r="H11" s="40">
        <f ca="1">INDEX(Risk_Score!$H$8:$H$57, MATCH(4, Risk_Score!$O$8:$O$57, 0))</f>
        <v>4</v>
      </c>
      <c r="I11" s="40">
        <f ca="1">INDEX(Risk_Score!$I$8:$I$57, MATCH(4, Risk_Score!$O$8:$O$57, 0))</f>
        <v>3</v>
      </c>
      <c r="J11" s="41">
        <f ca="1">INDEX(Risk_Score!$J$8:$J$57, MATCH(4, Risk_Score!$O$8:$O$57, 0))</f>
        <v>66.666666666666657</v>
      </c>
      <c r="K11" s="40">
        <f ca="1">INDEX(Risk_Score!$K$8:$K$57, MATCH(4, Risk_Score!$O$8:$O$57, 0))</f>
        <v>80</v>
      </c>
      <c r="L11" s="40">
        <f ca="1">INDEX(Risk_Score!$L$8:$L$57, MATCH(4, Risk_Score!$O$8:$O$57, 0))</f>
        <v>50</v>
      </c>
      <c r="M11" s="40">
        <f ca="1">INDEX(Risk_Score!$M$8:$M$57, MATCH(4, Risk_Score!$O$8:$O$57, 0))</f>
        <v>67.8</v>
      </c>
      <c r="N11" s="40" t="str">
        <f ca="1">INDEX(Risk_Score!$N$8:$N$57, MATCH(4, Risk_Score!$O$8:$O$57, 0))</f>
        <v>Medium Risk</v>
      </c>
    </row>
    <row r="12" spans="1:17" x14ac:dyDescent="0.35">
      <c r="A12" s="43">
        <v>5</v>
      </c>
      <c r="B12" s="40" t="str">
        <f ca="1">INDEX(Risk_Score!$A$8:$A$57, MATCH(5, Risk_Score!$O$8:$O$57, 0))</f>
        <v>EMP2612</v>
      </c>
      <c r="C12" s="40" t="str">
        <f ca="1">INDEX(Risk_Score!$B$8:$B$57, MATCH(5, Risk_Score!$O$8:$O$57, 0))</f>
        <v>Kapil Bhattacharya</v>
      </c>
      <c r="D12" s="40" t="str">
        <f ca="1">INDEX(Risk_Score!$D$8:$D$57, MATCH(5, Risk_Score!$O$8:$O$57, 0))</f>
        <v>Manish Tiwari</v>
      </c>
      <c r="E12" s="40" t="str">
        <f ca="1">INDEX(Risk_Score!$C$8:$C$57, MATCH(5, Risk_Score!$O$8:$O$57, 0))</f>
        <v>Engineering</v>
      </c>
      <c r="F12" s="40">
        <f ca="1">INDEX(Risk_Score!$E$8:$E$57, MATCH(5, Risk_Score!$O$8:$O$57, 0))</f>
        <v>9</v>
      </c>
      <c r="G12" s="40" t="str">
        <f ca="1">INDEX(Risk_Score!$G$8:$G$57, MATCH(5, Risk_Score!$O$8:$O$57, 0))</f>
        <v>40-49</v>
      </c>
      <c r="H12" s="40">
        <f ca="1">INDEX(Risk_Score!$H$8:$H$57, MATCH(5, Risk_Score!$O$8:$O$57, 0))</f>
        <v>6</v>
      </c>
      <c r="I12" s="40">
        <f ca="1">INDEX(Risk_Score!$I$8:$I$57, MATCH(5, Risk_Score!$O$8:$O$57, 0))</f>
        <v>3</v>
      </c>
      <c r="J12" s="41">
        <f ca="1">INDEX(Risk_Score!$J$8:$J$57, MATCH(5, Risk_Score!$O$8:$O$57, 0))</f>
        <v>40</v>
      </c>
      <c r="K12" s="40">
        <f ca="1">INDEX(Risk_Score!$K$8:$K$57, MATCH(5, Risk_Score!$O$8:$O$57, 0))</f>
        <v>100</v>
      </c>
      <c r="L12" s="40">
        <f ca="1">INDEX(Risk_Score!$L$8:$L$57, MATCH(5, Risk_Score!$O$8:$O$57, 0))</f>
        <v>50</v>
      </c>
      <c r="M12" s="40">
        <f ca="1">INDEX(Risk_Score!$M$8:$M$57, MATCH(5, Risk_Score!$O$8:$O$57, 0))</f>
        <v>66.5</v>
      </c>
      <c r="N12" s="40" t="str">
        <f ca="1">INDEX(Risk_Score!$N$8:$N$57, MATCH(5, Risk_Score!$O$8:$O$57, 0))</f>
        <v>Medium Risk</v>
      </c>
    </row>
    <row r="13" spans="1:17" x14ac:dyDescent="0.35">
      <c r="A13" s="44">
        <v>6</v>
      </c>
      <c r="B13" s="40" t="str">
        <f ca="1">INDEX(Risk_Score!$A$8:$A$57, MATCH(6, Risk_Score!$O$8:$O$57, 0))</f>
        <v>EMP9850</v>
      </c>
      <c r="C13" s="40" t="str">
        <f ca="1">INDEX(Risk_Score!$B$8:$B$57, MATCH(6, Risk_Score!$O$8:$O$57, 0))</f>
        <v>Tarun Sen</v>
      </c>
      <c r="D13" s="40" t="str">
        <f ca="1">INDEX(Risk_Score!$D$8:$D$57, MATCH(6, Risk_Score!$O$8:$O$57, 0))</f>
        <v>Divya Reddy</v>
      </c>
      <c r="E13" s="40" t="str">
        <f ca="1">INDEX(Risk_Score!$C$8:$C$57, MATCH(6, Risk_Score!$O$8:$O$57, 0))</f>
        <v>HR</v>
      </c>
      <c r="F13" s="40">
        <f ca="1">INDEX(Risk_Score!$E$8:$E$57, MATCH(6, Risk_Score!$O$8:$O$57, 0))</f>
        <v>9</v>
      </c>
      <c r="G13" s="40" t="str">
        <f ca="1">INDEX(Risk_Score!$G$8:$G$57, MATCH(6, Risk_Score!$O$8:$O$57, 0))</f>
        <v>40-49</v>
      </c>
      <c r="H13" s="40">
        <f ca="1">INDEX(Risk_Score!$H$8:$H$57, MATCH(6, Risk_Score!$O$8:$O$57, 0))</f>
        <v>7</v>
      </c>
      <c r="I13" s="40">
        <f ca="1">INDEX(Risk_Score!$I$8:$I$57, MATCH(6, Risk_Score!$O$8:$O$57, 0))</f>
        <v>3</v>
      </c>
      <c r="J13" s="41">
        <f ca="1">INDEX(Risk_Score!$J$8:$J$57, MATCH(6, Risk_Score!$O$8:$O$57, 0))</f>
        <v>40</v>
      </c>
      <c r="K13" s="40">
        <f ca="1">INDEX(Risk_Score!$K$8:$K$57, MATCH(6, Risk_Score!$O$8:$O$57, 0))</f>
        <v>100</v>
      </c>
      <c r="L13" s="40">
        <f ca="1">INDEX(Risk_Score!$L$8:$L$57, MATCH(6, Risk_Score!$O$8:$O$57, 0))</f>
        <v>50</v>
      </c>
      <c r="M13" s="40">
        <f ca="1">INDEX(Risk_Score!$M$8:$M$57, MATCH(6, Risk_Score!$O$8:$O$57, 0))</f>
        <v>66.5</v>
      </c>
      <c r="N13" s="40" t="str">
        <f ca="1">INDEX(Risk_Score!$N$8:$N$57, MATCH(6, Risk_Score!$O$8:$O$57, 0))</f>
        <v>Medium Risk</v>
      </c>
    </row>
    <row r="14" spans="1:17" x14ac:dyDescent="0.35">
      <c r="A14" s="44">
        <v>7</v>
      </c>
      <c r="B14" s="40" t="str">
        <f ca="1">INDEX(Risk_Score!$A$8:$A$57, MATCH(7, Risk_Score!$O$8:$O$57, 0))</f>
        <v>EMP7284</v>
      </c>
      <c r="C14" s="40" t="str">
        <f ca="1">INDEX(Risk_Score!$B$8:$B$57, MATCH(7, Risk_Score!$O$8:$O$57, 0))</f>
        <v>Amit Chakraborty</v>
      </c>
      <c r="D14" s="40" t="str">
        <f ca="1">INDEX(Risk_Score!$D$8:$D$57, MATCH(7, Risk_Score!$O$8:$O$57, 0))</f>
        <v>Siddharth Roy</v>
      </c>
      <c r="E14" s="40" t="str">
        <f ca="1">INDEX(Risk_Score!$C$8:$C$57, MATCH(7, Risk_Score!$O$8:$O$57, 0))</f>
        <v>HR</v>
      </c>
      <c r="F14" s="40">
        <f ca="1">INDEX(Risk_Score!$E$8:$E$57, MATCH(7, Risk_Score!$O$8:$O$57, 0))</f>
        <v>15</v>
      </c>
      <c r="G14" s="40" t="str">
        <f ca="1">INDEX(Risk_Score!$G$8:$G$57, MATCH(7, Risk_Score!$O$8:$O$57, 0))</f>
        <v>40-49</v>
      </c>
      <c r="H14" s="40">
        <f ca="1">INDEX(Risk_Score!$H$8:$H$57, MATCH(7, Risk_Score!$O$8:$O$57, 0))</f>
        <v>10</v>
      </c>
      <c r="I14" s="40">
        <f ca="1">INDEX(Risk_Score!$I$8:$I$57, MATCH(7, Risk_Score!$O$8:$O$57, 0))</f>
        <v>1</v>
      </c>
      <c r="J14" s="41">
        <f ca="1">INDEX(Risk_Score!$J$8:$J$57, MATCH(7, Risk_Score!$O$8:$O$57, 0))</f>
        <v>0</v>
      </c>
      <c r="K14" s="40">
        <f ca="1">INDEX(Risk_Score!$K$8:$K$57, MATCH(7, Risk_Score!$O$8:$O$57, 0))</f>
        <v>100</v>
      </c>
      <c r="L14" s="40">
        <f ca="1">INDEX(Risk_Score!$L$8:$L$57, MATCH(7, Risk_Score!$O$8:$O$57, 0))</f>
        <v>100</v>
      </c>
      <c r="M14" s="40">
        <f ca="1">INDEX(Risk_Score!$M$8:$M$57, MATCH(7, Risk_Score!$O$8:$O$57, 0))</f>
        <v>65</v>
      </c>
      <c r="N14" s="40" t="str">
        <f ca="1">INDEX(Risk_Score!$N$8:$N$57, MATCH(7, Risk_Score!$O$8:$O$57, 0))</f>
        <v>Medium Risk</v>
      </c>
    </row>
    <row r="15" spans="1:17" x14ac:dyDescent="0.35">
      <c r="A15" s="44">
        <v>8</v>
      </c>
      <c r="B15" s="40" t="str">
        <f ca="1">INDEX(Risk_Score!$A$8:$A$57, MATCH(8, Risk_Score!$O$8:$O$57, 0))</f>
        <v>EMP6947</v>
      </c>
      <c r="C15" s="40" t="str">
        <f ca="1">INDEX(Risk_Score!$B$8:$B$57, MATCH(8, Risk_Score!$O$8:$O$57, 0))</f>
        <v>Ritu Srivastava</v>
      </c>
      <c r="D15" s="40" t="str">
        <f ca="1">INDEX(Risk_Score!$D$8:$D$57, MATCH(8, Risk_Score!$O$8:$O$57, 0))</f>
        <v>Divya Reddy</v>
      </c>
      <c r="E15" s="40" t="str">
        <f ca="1">INDEX(Risk_Score!$C$8:$C$57, MATCH(8, Risk_Score!$O$8:$O$57, 0))</f>
        <v>Sales</v>
      </c>
      <c r="F15" s="40">
        <f ca="1">INDEX(Risk_Score!$E$8:$E$57, MATCH(8, Risk_Score!$O$8:$O$57, 0))</f>
        <v>13</v>
      </c>
      <c r="G15" s="40" t="str">
        <f ca="1">INDEX(Risk_Score!$G$8:$G$57, MATCH(8, Risk_Score!$O$8:$O$57, 0))</f>
        <v>30-39</v>
      </c>
      <c r="H15" s="40">
        <f ca="1">INDEX(Risk_Score!$H$8:$H$57, MATCH(8, Risk_Score!$O$8:$O$57, 0))</f>
        <v>11</v>
      </c>
      <c r="I15" s="40">
        <f ca="1">INDEX(Risk_Score!$I$8:$I$57, MATCH(8, Risk_Score!$O$8:$O$57, 0))</f>
        <v>2</v>
      </c>
      <c r="J15" s="41">
        <f ca="1">INDEX(Risk_Score!$J$8:$J$57, MATCH(8, Risk_Score!$O$8:$O$57, 0))</f>
        <v>13.333333333333334</v>
      </c>
      <c r="K15" s="40">
        <f ca="1">INDEX(Risk_Score!$K$8:$K$57, MATCH(8, Risk_Score!$O$8:$O$57, 0))</f>
        <v>100</v>
      </c>
      <c r="L15" s="40">
        <f ca="1">INDEX(Risk_Score!$L$8:$L$57, MATCH(8, Risk_Score!$O$8:$O$57, 0))</f>
        <v>75</v>
      </c>
      <c r="M15" s="40">
        <f ca="1">INDEX(Risk_Score!$M$8:$M$57, MATCH(8, Risk_Score!$O$8:$O$57, 0))</f>
        <v>63.4</v>
      </c>
      <c r="N15" s="40" t="str">
        <f ca="1">INDEX(Risk_Score!$N$8:$N$57, MATCH(8, Risk_Score!$O$8:$O$57, 0))</f>
        <v>Medium Risk</v>
      </c>
    </row>
    <row r="16" spans="1:17" x14ac:dyDescent="0.35">
      <c r="A16" s="44">
        <v>9</v>
      </c>
      <c r="B16" s="40" t="str">
        <f ca="1">INDEX(Risk_Score!$A$8:$A$57, MATCH(9, Risk_Score!$O$8:$O$57, 0))</f>
        <v>EMP2746</v>
      </c>
      <c r="C16" s="40" t="str">
        <f ca="1">INDEX(Risk_Score!$B$8:$B$57, MATCH(9, Risk_Score!$O$8:$O$57, 0))</f>
        <v>Hema Rao</v>
      </c>
      <c r="D16" s="40" t="str">
        <f ca="1">INDEX(Risk_Score!$D$8:$D$57, MATCH(9, Risk_Score!$O$8:$O$57, 0))</f>
        <v>Divya Reddy</v>
      </c>
      <c r="E16" s="40" t="str">
        <f ca="1">INDEX(Risk_Score!$C$8:$C$57, MATCH(9, Risk_Score!$O$8:$O$57, 0))</f>
        <v>Finance</v>
      </c>
      <c r="F16" s="40">
        <f ca="1">INDEX(Risk_Score!$E$8:$E$57, MATCH(9, Risk_Score!$O$8:$O$57, 0))</f>
        <v>13</v>
      </c>
      <c r="G16" s="40" t="str">
        <f ca="1">INDEX(Risk_Score!$G$8:$G$57, MATCH(9, Risk_Score!$O$8:$O$57, 0))</f>
        <v>50+</v>
      </c>
      <c r="H16" s="40">
        <f ca="1">INDEX(Risk_Score!$H$8:$H$57, MATCH(9, Risk_Score!$O$8:$O$57, 0))</f>
        <v>12</v>
      </c>
      <c r="I16" s="40">
        <f ca="1">INDEX(Risk_Score!$I$8:$I$57, MATCH(9, Risk_Score!$O$8:$O$57, 0))</f>
        <v>2</v>
      </c>
      <c r="J16" s="41">
        <f ca="1">INDEX(Risk_Score!$J$8:$J$57, MATCH(9, Risk_Score!$O$8:$O$57, 0))</f>
        <v>13.333333333333334</v>
      </c>
      <c r="K16" s="40">
        <f ca="1">INDEX(Risk_Score!$K$8:$K$57, MATCH(9, Risk_Score!$O$8:$O$57, 0))</f>
        <v>100</v>
      </c>
      <c r="L16" s="40">
        <f ca="1">INDEX(Risk_Score!$L$8:$L$57, MATCH(9, Risk_Score!$O$8:$O$57, 0))</f>
        <v>75</v>
      </c>
      <c r="M16" s="40">
        <f ca="1">INDEX(Risk_Score!$M$8:$M$57, MATCH(9, Risk_Score!$O$8:$O$57, 0))</f>
        <v>63.4</v>
      </c>
      <c r="N16" s="40" t="str">
        <f ca="1">INDEX(Risk_Score!$N$8:$N$57, MATCH(9, Risk_Score!$O$8:$O$57, 0))</f>
        <v>Medium Risk</v>
      </c>
    </row>
    <row r="17" spans="1:14" x14ac:dyDescent="0.35">
      <c r="A17" s="44">
        <v>10</v>
      </c>
      <c r="B17" s="40" t="str">
        <f ca="1">INDEX(Risk_Score!$A$8:$A$57, MATCH(10, Risk_Score!$O$8:$O$57, 0))</f>
        <v>EMP2680</v>
      </c>
      <c r="C17" s="40" t="str">
        <f ca="1">INDEX(Risk_Score!$B$8:$B$57, MATCH(10, Risk_Score!$O$8:$O$57, 0))</f>
        <v>Aarav Bose</v>
      </c>
      <c r="D17" s="40" t="str">
        <f ca="1">INDEX(Risk_Score!$D$8:$D$57, MATCH(10, Risk_Score!$O$8:$O$57, 0))</f>
        <v>Manish Tiwari</v>
      </c>
      <c r="E17" s="40" t="str">
        <f ca="1">INDEX(Risk_Score!$C$8:$C$57, MATCH(10, Risk_Score!$O$8:$O$57, 0))</f>
        <v>Marketing</v>
      </c>
      <c r="F17" s="40">
        <f ca="1">INDEX(Risk_Score!$E$8:$E$57, MATCH(10, Risk_Score!$O$8:$O$57, 0))</f>
        <v>8</v>
      </c>
      <c r="G17" s="40" t="str">
        <f ca="1">INDEX(Risk_Score!$G$8:$G$57, MATCH(10, Risk_Score!$O$8:$O$57, 0))</f>
        <v>40-49</v>
      </c>
      <c r="H17" s="40">
        <f ca="1">INDEX(Risk_Score!$H$8:$H$57, MATCH(10, Risk_Score!$O$8:$O$57, 0))</f>
        <v>5</v>
      </c>
      <c r="I17" s="40">
        <f ca="1">INDEX(Risk_Score!$I$8:$I$57, MATCH(10, Risk_Score!$O$8:$O$57, 0))</f>
        <v>4</v>
      </c>
      <c r="J17" s="41">
        <f ca="1">INDEX(Risk_Score!$J$8:$J$57, MATCH(10, Risk_Score!$O$8:$O$57, 0))</f>
        <v>46.666666666666664</v>
      </c>
      <c r="K17" s="40">
        <f ca="1">INDEX(Risk_Score!$K$8:$K$57, MATCH(10, Risk_Score!$O$8:$O$57, 0))</f>
        <v>100</v>
      </c>
      <c r="L17" s="40">
        <f ca="1">INDEX(Risk_Score!$L$8:$L$57, MATCH(10, Risk_Score!$O$8:$O$57, 0))</f>
        <v>25</v>
      </c>
      <c r="M17" s="40">
        <f ca="1">INDEX(Risk_Score!$M$8:$M$57, MATCH(10, Risk_Score!$O$8:$O$57, 0))</f>
        <v>62.6</v>
      </c>
      <c r="N17" s="40" t="str">
        <f ca="1">INDEX(Risk_Score!$N$8:$N$57, MATCH(10, Risk_Score!$O$8:$O$57, 0))</f>
        <v>Medium Risk</v>
      </c>
    </row>
    <row r="18" spans="1:14" x14ac:dyDescent="0.35">
      <c r="A18" s="45">
        <v>11</v>
      </c>
      <c r="B18" s="40" t="str">
        <f ca="1">INDEX(Risk_Score!$A$8:$A$57, MATCH(11, Risk_Score!$O$8:$O$57, 0))</f>
        <v>EMP7717</v>
      </c>
      <c r="C18" s="40" t="str">
        <f ca="1">INDEX(Risk_Score!$B$8:$B$57, MATCH(11, Risk_Score!$O$8:$O$57, 0))</f>
        <v>Lata Tiwari</v>
      </c>
      <c r="D18" s="40" t="str">
        <f ca="1">INDEX(Risk_Score!$D$8:$D$57, MATCH(11, Risk_Score!$O$8:$O$57, 0))</f>
        <v>Manish Tiwari</v>
      </c>
      <c r="E18" s="40" t="str">
        <f ca="1">INDEX(Risk_Score!$C$8:$C$57, MATCH(11, Risk_Score!$O$8:$O$57, 0))</f>
        <v>Engineering</v>
      </c>
      <c r="F18" s="40">
        <f ca="1">INDEX(Risk_Score!$E$8:$E$57, MATCH(11, Risk_Score!$O$8:$O$57, 0))</f>
        <v>8</v>
      </c>
      <c r="G18" s="40" t="str">
        <f ca="1">INDEX(Risk_Score!$G$8:$G$57, MATCH(11, Risk_Score!$O$8:$O$57, 0))</f>
        <v>40-49</v>
      </c>
      <c r="H18" s="40">
        <f ca="1">INDEX(Risk_Score!$H$8:$H$57, MATCH(11, Risk_Score!$O$8:$O$57, 0))</f>
        <v>7</v>
      </c>
      <c r="I18" s="40">
        <f ca="1">INDEX(Risk_Score!$I$8:$I$57, MATCH(11, Risk_Score!$O$8:$O$57, 0))</f>
        <v>4</v>
      </c>
      <c r="J18" s="41">
        <f ca="1">INDEX(Risk_Score!$J$8:$J$57, MATCH(11, Risk_Score!$O$8:$O$57, 0))</f>
        <v>46.666666666666664</v>
      </c>
      <c r="K18" s="40">
        <f ca="1">INDEX(Risk_Score!$K$8:$K$57, MATCH(11, Risk_Score!$O$8:$O$57, 0))</f>
        <v>100</v>
      </c>
      <c r="L18" s="40">
        <f ca="1">INDEX(Risk_Score!$L$8:$L$57, MATCH(11, Risk_Score!$O$8:$O$57, 0))</f>
        <v>25</v>
      </c>
      <c r="M18" s="40">
        <f ca="1">INDEX(Risk_Score!$M$8:$M$57, MATCH(11, Risk_Score!$O$8:$O$57, 0))</f>
        <v>62.6</v>
      </c>
      <c r="N18" s="40" t="str">
        <f ca="1">INDEX(Risk_Score!$N$8:$N$57, MATCH(11, Risk_Score!$O$8:$O$57, 0))</f>
        <v>Medium Risk</v>
      </c>
    </row>
    <row r="19" spans="1:14" x14ac:dyDescent="0.35">
      <c r="A19" s="45">
        <v>12</v>
      </c>
      <c r="B19" s="40" t="str">
        <f ca="1">INDEX(Risk_Score!$A$8:$A$57, MATCH(12, Risk_Score!$O$8:$O$57, 0))</f>
        <v>EMP2124</v>
      </c>
      <c r="C19" s="40" t="str">
        <f ca="1">INDEX(Risk_Score!$B$8:$B$57, MATCH(12, Risk_Score!$O$8:$O$57, 0))</f>
        <v>Hema Sinha</v>
      </c>
      <c r="D19" s="40" t="str">
        <f ca="1">INDEX(Risk_Score!$D$8:$D$57, MATCH(12, Risk_Score!$O$8:$O$57, 0))</f>
        <v>Sunita Bose</v>
      </c>
      <c r="E19" s="40" t="str">
        <f ca="1">INDEX(Risk_Score!$C$8:$C$57, MATCH(12, Risk_Score!$O$8:$O$57, 0))</f>
        <v>Sales</v>
      </c>
      <c r="F19" s="40">
        <f ca="1">INDEX(Risk_Score!$E$8:$E$57, MATCH(12, Risk_Score!$O$8:$O$57, 0))</f>
        <v>4</v>
      </c>
      <c r="G19" s="40" t="str">
        <f ca="1">INDEX(Risk_Score!$G$8:$G$57, MATCH(12, Risk_Score!$O$8:$O$57, 0))</f>
        <v>30-39</v>
      </c>
      <c r="H19" s="40">
        <f ca="1">INDEX(Risk_Score!$H$8:$H$57, MATCH(12, Risk_Score!$O$8:$O$57, 0))</f>
        <v>3</v>
      </c>
      <c r="I19" s="40">
        <f ca="1">INDEX(Risk_Score!$I$8:$I$57, MATCH(12, Risk_Score!$O$8:$O$57, 0))</f>
        <v>3</v>
      </c>
      <c r="J19" s="41">
        <f ca="1">INDEX(Risk_Score!$J$8:$J$57, MATCH(12, Risk_Score!$O$8:$O$57, 0))</f>
        <v>73.333333333333329</v>
      </c>
      <c r="K19" s="40">
        <f ca="1">INDEX(Risk_Score!$K$8:$K$57, MATCH(12, Risk_Score!$O$8:$O$57, 0))</f>
        <v>60</v>
      </c>
      <c r="L19" s="40">
        <f ca="1">INDEX(Risk_Score!$L$8:$L$57, MATCH(12, Risk_Score!$O$8:$O$57, 0))</f>
        <v>50</v>
      </c>
      <c r="M19" s="40">
        <f ca="1">INDEX(Risk_Score!$M$8:$M$57, MATCH(12, Risk_Score!$O$8:$O$57, 0))</f>
        <v>62.2</v>
      </c>
      <c r="N19" s="40" t="str">
        <f ca="1">INDEX(Risk_Score!$N$8:$N$57, MATCH(12, Risk_Score!$O$8:$O$57, 0))</f>
        <v>Medium Risk</v>
      </c>
    </row>
    <row r="20" spans="1:14" x14ac:dyDescent="0.35">
      <c r="A20" s="45">
        <v>13</v>
      </c>
      <c r="B20" s="40" t="str">
        <f ca="1">INDEX(Risk_Score!$A$8:$A$57, MATCH(13, Risk_Score!$O$8:$O$57, 0))</f>
        <v>EMP1106</v>
      </c>
      <c r="C20" s="40" t="str">
        <f ca="1">INDEX(Risk_Score!$B$8:$B$57, MATCH(13, Risk_Score!$O$8:$O$57, 0))</f>
        <v>Kapil Pandey</v>
      </c>
      <c r="D20" s="40" t="str">
        <f ca="1">INDEX(Risk_Score!$D$8:$D$57, MATCH(13, Risk_Score!$O$8:$O$57, 0))</f>
        <v>Geeta Pillai</v>
      </c>
      <c r="E20" s="40" t="str">
        <f ca="1">INDEX(Risk_Score!$C$8:$C$57, MATCH(13, Risk_Score!$O$8:$O$57, 0))</f>
        <v>IT</v>
      </c>
      <c r="F20" s="40">
        <f ca="1">INDEX(Risk_Score!$E$8:$E$57, MATCH(13, Risk_Score!$O$8:$O$57, 0))</f>
        <v>11</v>
      </c>
      <c r="G20" s="40" t="str">
        <f ca="1">INDEX(Risk_Score!$G$8:$G$57, MATCH(13, Risk_Score!$O$8:$O$57, 0))</f>
        <v>30-39</v>
      </c>
      <c r="H20" s="40">
        <f ca="1">INDEX(Risk_Score!$H$8:$H$57, MATCH(13, Risk_Score!$O$8:$O$57, 0))</f>
        <v>10</v>
      </c>
      <c r="I20" s="40">
        <f ca="1">INDEX(Risk_Score!$I$8:$I$57, MATCH(13, Risk_Score!$O$8:$O$57, 0))</f>
        <v>3</v>
      </c>
      <c r="J20" s="41">
        <f ca="1">INDEX(Risk_Score!$J$8:$J$57, MATCH(13, Risk_Score!$O$8:$O$57, 0))</f>
        <v>26.666666666666668</v>
      </c>
      <c r="K20" s="40">
        <f ca="1">INDEX(Risk_Score!$K$8:$K$57, MATCH(13, Risk_Score!$O$8:$O$57, 0))</f>
        <v>100</v>
      </c>
      <c r="L20" s="40">
        <f ca="1">INDEX(Risk_Score!$L$8:$L$57, MATCH(13, Risk_Score!$O$8:$O$57, 0))</f>
        <v>50</v>
      </c>
      <c r="M20" s="40">
        <f ca="1">INDEX(Risk_Score!$M$8:$M$57, MATCH(13, Risk_Score!$O$8:$O$57, 0))</f>
        <v>61.8</v>
      </c>
      <c r="N20" s="40" t="str">
        <f ca="1">INDEX(Risk_Score!$N$8:$N$57, MATCH(13, Risk_Score!$O$8:$O$57, 0))</f>
        <v>Medium Risk</v>
      </c>
    </row>
    <row r="21" spans="1:14" x14ac:dyDescent="0.35">
      <c r="A21" s="45">
        <v>14</v>
      </c>
      <c r="B21" s="40" t="str">
        <f ca="1">INDEX(Risk_Score!$A$8:$A$57, MATCH(14, Risk_Score!$O$8:$O$57, 0))</f>
        <v>EMP4164</v>
      </c>
      <c r="C21" s="40" t="str">
        <f ca="1">INDEX(Risk_Score!$B$8:$B$57, MATCH(14, Risk_Score!$O$8:$O$57, 0))</f>
        <v>Shreya Bhatia</v>
      </c>
      <c r="D21" s="40" t="str">
        <f ca="1">INDEX(Risk_Score!$D$8:$D$57, MATCH(14, Risk_Score!$O$8:$O$57, 0))</f>
        <v>Siddharth Roy</v>
      </c>
      <c r="E21" s="40" t="str">
        <f ca="1">INDEX(Risk_Score!$C$8:$C$57, MATCH(14, Risk_Score!$O$8:$O$57, 0))</f>
        <v>Marketing</v>
      </c>
      <c r="F21" s="40">
        <f ca="1">INDEX(Risk_Score!$E$8:$E$57, MATCH(14, Risk_Score!$O$8:$O$57, 0))</f>
        <v>14</v>
      </c>
      <c r="G21" s="40" t="str">
        <f ca="1">INDEX(Risk_Score!$G$8:$G$57, MATCH(14, Risk_Score!$O$8:$O$57, 0))</f>
        <v>50+</v>
      </c>
      <c r="H21" s="40">
        <f ca="1">INDEX(Risk_Score!$H$8:$H$57, MATCH(14, Risk_Score!$O$8:$O$57, 0))</f>
        <v>10</v>
      </c>
      <c r="I21" s="40">
        <f ca="1">INDEX(Risk_Score!$I$8:$I$57, MATCH(14, Risk_Score!$O$8:$O$57, 0))</f>
        <v>2</v>
      </c>
      <c r="J21" s="41">
        <f ca="1">INDEX(Risk_Score!$J$8:$J$57, MATCH(14, Risk_Score!$O$8:$O$57, 0))</f>
        <v>6.666666666666667</v>
      </c>
      <c r="K21" s="40">
        <f ca="1">INDEX(Risk_Score!$K$8:$K$57, MATCH(14, Risk_Score!$O$8:$O$57, 0))</f>
        <v>100</v>
      </c>
      <c r="L21" s="40">
        <f ca="1">INDEX(Risk_Score!$L$8:$L$57, MATCH(14, Risk_Score!$O$8:$O$57, 0))</f>
        <v>75</v>
      </c>
      <c r="M21" s="40">
        <f ca="1">INDEX(Risk_Score!$M$8:$M$57, MATCH(14, Risk_Score!$O$8:$O$57, 0))</f>
        <v>61.1</v>
      </c>
      <c r="N21" s="40" t="str">
        <f ca="1">INDEX(Risk_Score!$N$8:$N$57, MATCH(14, Risk_Score!$O$8:$O$57, 0))</f>
        <v>Medium Risk</v>
      </c>
    </row>
    <row r="22" spans="1:14" x14ac:dyDescent="0.35">
      <c r="A22" s="45">
        <v>15</v>
      </c>
      <c r="B22" s="40" t="str">
        <f ca="1">INDEX(Risk_Score!$A$8:$A$57, MATCH(15, Risk_Score!$O$8:$O$57, 0))</f>
        <v>EMP2886</v>
      </c>
      <c r="C22" s="40" t="str">
        <f ca="1">INDEX(Risk_Score!$B$8:$B$57, MATCH(15, Risk_Score!$O$8:$O$57, 0))</f>
        <v>Bhavna Kumar</v>
      </c>
      <c r="D22" s="40" t="str">
        <f ca="1">INDEX(Risk_Score!$D$8:$D$57, MATCH(15, Risk_Score!$O$8:$O$57, 0))</f>
        <v>Manish Tiwari</v>
      </c>
      <c r="E22" s="40" t="str">
        <f ca="1">INDEX(Risk_Score!$C$8:$C$57, MATCH(15, Risk_Score!$O$8:$O$57, 0))</f>
        <v>HR</v>
      </c>
      <c r="F22" s="40">
        <f ca="1">INDEX(Risk_Score!$E$8:$E$57, MATCH(15, Risk_Score!$O$8:$O$57, 0))</f>
        <v>4</v>
      </c>
      <c r="G22" s="40" t="str">
        <f ca="1">INDEX(Risk_Score!$G$8:$G$57, MATCH(15, Risk_Score!$O$8:$O$57, 0))</f>
        <v>40-49</v>
      </c>
      <c r="H22" s="40">
        <f ca="1">INDEX(Risk_Score!$H$8:$H$57, MATCH(15, Risk_Score!$O$8:$O$57, 0))</f>
        <v>2</v>
      </c>
      <c r="I22" s="40">
        <f ca="1">INDEX(Risk_Score!$I$8:$I$57, MATCH(15, Risk_Score!$O$8:$O$57, 0))</f>
        <v>2</v>
      </c>
      <c r="J22" s="41">
        <f ca="1">INDEX(Risk_Score!$J$8:$J$57, MATCH(15, Risk_Score!$O$8:$O$57, 0))</f>
        <v>73.333333333333329</v>
      </c>
      <c r="K22" s="40">
        <f ca="1">INDEX(Risk_Score!$K$8:$K$57, MATCH(15, Risk_Score!$O$8:$O$57, 0))</f>
        <v>40</v>
      </c>
      <c r="L22" s="40">
        <f ca="1">INDEX(Risk_Score!$L$8:$L$57, MATCH(15, Risk_Score!$O$8:$O$57, 0))</f>
        <v>75</v>
      </c>
      <c r="M22" s="40">
        <f ca="1">INDEX(Risk_Score!$M$8:$M$57, MATCH(15, Risk_Score!$O$8:$O$57, 0))</f>
        <v>60.4</v>
      </c>
      <c r="N22" s="40" t="str">
        <f ca="1">INDEX(Risk_Score!$N$8:$N$57, MATCH(15, Risk_Score!$O$8:$O$57, 0))</f>
        <v>Medium Risk</v>
      </c>
    </row>
    <row r="23" spans="1:14" x14ac:dyDescent="0.35">
      <c r="A23" s="46">
        <v>16</v>
      </c>
      <c r="B23" s="20" t="str">
        <f ca="1">INDEX(Risk_Score!$A$8:$A$57, MATCH(16, Risk_Score!$O$8:$O$57, 0))</f>
        <v>EMP1420</v>
      </c>
      <c r="C23" s="20" t="str">
        <f ca="1">INDEX(Risk_Score!$B$8:$B$57, MATCH(16, Risk_Score!$O$8:$O$57, 0))</f>
        <v>Ritu Bose</v>
      </c>
      <c r="D23" s="20" t="str">
        <f ca="1">INDEX(Risk_Score!$D$8:$D$57, MATCH(16, Risk_Score!$O$8:$O$57, 0))</f>
        <v>Sunita Bose</v>
      </c>
      <c r="E23" s="20" t="str">
        <f ca="1">INDEX(Risk_Score!$C$8:$C$57, MATCH(16, Risk_Score!$O$8:$O$57, 0))</f>
        <v>IT</v>
      </c>
      <c r="F23" s="20">
        <f ca="1">INDEX(Risk_Score!$E$8:$E$57, MATCH(16, Risk_Score!$O$8:$O$57, 0))</f>
        <v>9</v>
      </c>
      <c r="G23" s="20" t="str">
        <f ca="1">INDEX(Risk_Score!$G$8:$G$57, MATCH(16, Risk_Score!$O$8:$O$57, 0))</f>
        <v>30-39</v>
      </c>
      <c r="H23" s="20">
        <f ca="1">INDEX(Risk_Score!$H$8:$H$57, MATCH(16, Risk_Score!$O$8:$O$57, 0))</f>
        <v>8</v>
      </c>
      <c r="I23" s="20">
        <f ca="1">INDEX(Risk_Score!$I$8:$I$57, MATCH(16, Risk_Score!$O$8:$O$57, 0))</f>
        <v>4</v>
      </c>
      <c r="J23" s="29">
        <f ca="1">INDEX(Risk_Score!$J$8:$J$57, MATCH(16, Risk_Score!$O$8:$O$57, 0))</f>
        <v>40</v>
      </c>
      <c r="K23" s="20">
        <f ca="1">INDEX(Risk_Score!$K$8:$K$57, MATCH(16, Risk_Score!$O$8:$O$57, 0))</f>
        <v>100</v>
      </c>
      <c r="L23" s="20">
        <f ca="1">INDEX(Risk_Score!$L$8:$L$57, MATCH(16, Risk_Score!$O$8:$O$57, 0))</f>
        <v>25</v>
      </c>
      <c r="M23" s="20">
        <f ca="1">INDEX(Risk_Score!$M$8:$M$57, MATCH(16, Risk_Score!$O$8:$O$57, 0))</f>
        <v>60.3</v>
      </c>
      <c r="N23" s="20" t="str">
        <f ca="1">INDEX(Risk_Score!$N$8:$N$57, MATCH(16, Risk_Score!$O$8:$O$57, 0))</f>
        <v>Medium Risk</v>
      </c>
    </row>
    <row r="24" spans="1:14" x14ac:dyDescent="0.35">
      <c r="A24" s="46">
        <v>17</v>
      </c>
      <c r="B24" s="20" t="str">
        <f ca="1">INDEX(Risk_Score!$A$8:$A$57, MATCH(17, Risk_Score!$O$8:$O$57, 0))</f>
        <v>EMP1651</v>
      </c>
      <c r="C24" s="20" t="str">
        <f ca="1">INDEX(Risk_Score!$B$8:$B$57, MATCH(17, Risk_Score!$O$8:$O$57, 0))</f>
        <v>Usha Joshi</v>
      </c>
      <c r="D24" s="20" t="str">
        <f ca="1">INDEX(Risk_Score!$D$8:$D$57, MATCH(17, Risk_Score!$O$8:$O$57, 0))</f>
        <v>Siddharth Roy</v>
      </c>
      <c r="E24" s="20" t="str">
        <f ca="1">INDEX(Risk_Score!$C$8:$C$57, MATCH(17, Risk_Score!$O$8:$O$57, 0))</f>
        <v>IT</v>
      </c>
      <c r="F24" s="20">
        <f ca="1">INDEX(Risk_Score!$E$8:$E$57, MATCH(17, Risk_Score!$O$8:$O$57, 0))</f>
        <v>5</v>
      </c>
      <c r="G24" s="20" t="str">
        <f ca="1">INDEX(Risk_Score!$G$8:$G$57, MATCH(17, Risk_Score!$O$8:$O$57, 0))</f>
        <v>40-49</v>
      </c>
      <c r="H24" s="20">
        <f ca="1">INDEX(Risk_Score!$H$8:$H$57, MATCH(17, Risk_Score!$O$8:$O$57, 0))</f>
        <v>3</v>
      </c>
      <c r="I24" s="20">
        <f ca="1">INDEX(Risk_Score!$I$8:$I$57, MATCH(17, Risk_Score!$O$8:$O$57, 0))</f>
        <v>3</v>
      </c>
      <c r="J24" s="29">
        <f ca="1">INDEX(Risk_Score!$J$8:$J$57, MATCH(17, Risk_Score!$O$8:$O$57, 0))</f>
        <v>66.666666666666657</v>
      </c>
      <c r="K24" s="20">
        <f ca="1">INDEX(Risk_Score!$K$8:$K$57, MATCH(17, Risk_Score!$O$8:$O$57, 0))</f>
        <v>60</v>
      </c>
      <c r="L24" s="20">
        <f ca="1">INDEX(Risk_Score!$L$8:$L$57, MATCH(17, Risk_Score!$O$8:$O$57, 0))</f>
        <v>50</v>
      </c>
      <c r="M24" s="20">
        <f ca="1">INDEX(Risk_Score!$M$8:$M$57, MATCH(17, Risk_Score!$O$8:$O$57, 0))</f>
        <v>59.8</v>
      </c>
      <c r="N24" s="20" t="str">
        <f ca="1">INDEX(Risk_Score!$N$8:$N$57, MATCH(17, Risk_Score!$O$8:$O$57, 0))</f>
        <v>Medium Risk</v>
      </c>
    </row>
    <row r="25" spans="1:14" x14ac:dyDescent="0.35">
      <c r="A25" s="46">
        <v>18</v>
      </c>
      <c r="B25" s="20" t="str">
        <f ca="1">INDEX(Risk_Score!$A$8:$A$57, MATCH(18, Risk_Score!$O$8:$O$57, 0))</f>
        <v>EMP4114</v>
      </c>
      <c r="C25" s="20" t="str">
        <f ca="1">INDEX(Risk_Score!$B$8:$B$57, MATCH(18, Risk_Score!$O$8:$O$57, 0))</f>
        <v>Nikhil Singh</v>
      </c>
      <c r="D25" s="20" t="str">
        <f ca="1">INDEX(Risk_Score!$D$8:$D$57, MATCH(18, Risk_Score!$O$8:$O$57, 0))</f>
        <v>Geeta Pillai</v>
      </c>
      <c r="E25" s="20" t="str">
        <f ca="1">INDEX(Risk_Score!$C$8:$C$57, MATCH(18, Risk_Score!$O$8:$O$57, 0))</f>
        <v>IT</v>
      </c>
      <c r="F25" s="20">
        <f ca="1">INDEX(Risk_Score!$E$8:$E$57, MATCH(18, Risk_Score!$O$8:$O$57, 0))</f>
        <v>15</v>
      </c>
      <c r="G25" s="20" t="str">
        <f ca="1">INDEX(Risk_Score!$G$8:$G$57, MATCH(18, Risk_Score!$O$8:$O$57, 0))</f>
        <v>50+</v>
      </c>
      <c r="H25" s="20">
        <f ca="1">INDEX(Risk_Score!$H$8:$H$57, MATCH(18, Risk_Score!$O$8:$O$57, 0))</f>
        <v>13</v>
      </c>
      <c r="I25" s="20">
        <f ca="1">INDEX(Risk_Score!$I$8:$I$57, MATCH(18, Risk_Score!$O$8:$O$57, 0))</f>
        <v>2</v>
      </c>
      <c r="J25" s="29">
        <f ca="1">INDEX(Risk_Score!$J$8:$J$57, MATCH(18, Risk_Score!$O$8:$O$57, 0))</f>
        <v>0</v>
      </c>
      <c r="K25" s="20">
        <f ca="1">INDEX(Risk_Score!$K$8:$K$57, MATCH(18, Risk_Score!$O$8:$O$57, 0))</f>
        <v>100</v>
      </c>
      <c r="L25" s="20">
        <f ca="1">INDEX(Risk_Score!$L$8:$L$57, MATCH(18, Risk_Score!$O$8:$O$57, 0))</f>
        <v>75</v>
      </c>
      <c r="M25" s="20">
        <f ca="1">INDEX(Risk_Score!$M$8:$M$57, MATCH(18, Risk_Score!$O$8:$O$57, 0))</f>
        <v>58.8</v>
      </c>
      <c r="N25" s="20" t="str">
        <f ca="1">INDEX(Risk_Score!$N$8:$N$57, MATCH(18, Risk_Score!$O$8:$O$57, 0))</f>
        <v>Medium Risk</v>
      </c>
    </row>
    <row r="26" spans="1:14" x14ac:dyDescent="0.35">
      <c r="A26" s="46">
        <v>19</v>
      </c>
      <c r="B26" s="20" t="str">
        <f ca="1">INDEX(Risk_Score!$A$8:$A$57, MATCH(19, Risk_Score!$O$8:$O$57, 0))</f>
        <v>EMP3344</v>
      </c>
      <c r="C26" s="20" t="str">
        <f ca="1">INDEX(Risk_Score!$B$8:$B$57, MATCH(19, Risk_Score!$O$8:$O$57, 0))</f>
        <v>Suresh Krishnan</v>
      </c>
      <c r="D26" s="20" t="str">
        <f ca="1">INDEX(Risk_Score!$D$8:$D$57, MATCH(19, Risk_Score!$O$8:$O$57, 0))</f>
        <v>Geeta Pillai</v>
      </c>
      <c r="E26" s="20" t="str">
        <f ca="1">INDEX(Risk_Score!$C$8:$C$57, MATCH(19, Risk_Score!$O$8:$O$57, 0))</f>
        <v>Marketing</v>
      </c>
      <c r="F26" s="20">
        <f ca="1">INDEX(Risk_Score!$E$8:$E$57, MATCH(19, Risk_Score!$O$8:$O$57, 0))</f>
        <v>9</v>
      </c>
      <c r="G26" s="20" t="str">
        <f ca="1">INDEX(Risk_Score!$G$8:$G$57, MATCH(19, Risk_Score!$O$8:$O$57, 0))</f>
        <v>30-39</v>
      </c>
      <c r="H26" s="20">
        <f ca="1">INDEX(Risk_Score!$H$8:$H$57, MATCH(19, Risk_Score!$O$8:$O$57, 0))</f>
        <v>4</v>
      </c>
      <c r="I26" s="20">
        <f ca="1">INDEX(Risk_Score!$I$8:$I$57, MATCH(19, Risk_Score!$O$8:$O$57, 0))</f>
        <v>3</v>
      </c>
      <c r="J26" s="29">
        <f ca="1">INDEX(Risk_Score!$J$8:$J$57, MATCH(19, Risk_Score!$O$8:$O$57, 0))</f>
        <v>40</v>
      </c>
      <c r="K26" s="20">
        <f ca="1">INDEX(Risk_Score!$K$8:$K$57, MATCH(19, Risk_Score!$O$8:$O$57, 0))</f>
        <v>80</v>
      </c>
      <c r="L26" s="20">
        <f ca="1">INDEX(Risk_Score!$L$8:$L$57, MATCH(19, Risk_Score!$O$8:$O$57, 0))</f>
        <v>50</v>
      </c>
      <c r="M26" s="20">
        <f ca="1">INDEX(Risk_Score!$M$8:$M$57, MATCH(19, Risk_Score!$O$8:$O$57, 0))</f>
        <v>58.5</v>
      </c>
      <c r="N26" s="20" t="str">
        <f ca="1">INDEX(Risk_Score!$N$8:$N$57, MATCH(19, Risk_Score!$O$8:$O$57, 0))</f>
        <v>Medium Risk</v>
      </c>
    </row>
    <row r="27" spans="1:14" x14ac:dyDescent="0.35">
      <c r="A27" s="46">
        <v>20</v>
      </c>
      <c r="B27" s="20" t="str">
        <f ca="1">INDEX(Risk_Score!$A$8:$A$57, MATCH(20, Risk_Score!$O$8:$O$57, 0))</f>
        <v>EMP5050</v>
      </c>
      <c r="C27" s="20" t="str">
        <f ca="1">INDEX(Risk_Score!$B$8:$B$57, MATCH(20, Risk_Score!$O$8:$O$57, 0))</f>
        <v>Naveen Chauhan</v>
      </c>
      <c r="D27" s="20" t="str">
        <f ca="1">INDEX(Risk_Score!$D$8:$D$57, MATCH(20, Risk_Score!$O$8:$O$57, 0))</f>
        <v>Sunita Bose</v>
      </c>
      <c r="E27" s="20" t="str">
        <f ca="1">INDEX(Risk_Score!$C$8:$C$57, MATCH(20, Risk_Score!$O$8:$O$57, 0))</f>
        <v>Legal</v>
      </c>
      <c r="F27" s="20">
        <f ca="1">INDEX(Risk_Score!$E$8:$E$57, MATCH(20, Risk_Score!$O$8:$O$57, 0))</f>
        <v>6</v>
      </c>
      <c r="G27" s="20" t="str">
        <f ca="1">INDEX(Risk_Score!$G$8:$G$57, MATCH(20, Risk_Score!$O$8:$O$57, 0))</f>
        <v>40-49</v>
      </c>
      <c r="H27" s="20">
        <f ca="1">INDEX(Risk_Score!$H$8:$H$57, MATCH(20, Risk_Score!$O$8:$O$57, 0))</f>
        <v>3</v>
      </c>
      <c r="I27" s="20">
        <f ca="1">INDEX(Risk_Score!$I$8:$I$57, MATCH(20, Risk_Score!$O$8:$O$57, 0))</f>
        <v>3</v>
      </c>
      <c r="J27" s="29">
        <f ca="1">INDEX(Risk_Score!$J$8:$J$57, MATCH(20, Risk_Score!$O$8:$O$57, 0))</f>
        <v>60</v>
      </c>
      <c r="K27" s="20">
        <f ca="1">INDEX(Risk_Score!$K$8:$K$57, MATCH(20, Risk_Score!$O$8:$O$57, 0))</f>
        <v>60</v>
      </c>
      <c r="L27" s="20">
        <f ca="1">INDEX(Risk_Score!$L$8:$L$57, MATCH(20, Risk_Score!$O$8:$O$57, 0))</f>
        <v>50</v>
      </c>
      <c r="M27" s="20">
        <f ca="1">INDEX(Risk_Score!$M$8:$M$57, MATCH(20, Risk_Score!$O$8:$O$57, 0))</f>
        <v>57.5</v>
      </c>
      <c r="N27" s="20" t="str">
        <f ca="1">INDEX(Risk_Score!$N$8:$N$57, MATCH(20, Risk_Score!$O$8:$O$57, 0))</f>
        <v>Medium Risk</v>
      </c>
    </row>
  </sheetData>
  <autoFilter ref="A7:N27"/>
  <mergeCells count="9">
    <mergeCell ref="K4:L4"/>
    <mergeCell ref="K5:L5"/>
    <mergeCell ref="A1:N1"/>
    <mergeCell ref="B4:C4"/>
    <mergeCell ref="B5:C5"/>
    <mergeCell ref="E4:F4"/>
    <mergeCell ref="E5:F5"/>
    <mergeCell ref="H4:I4"/>
    <mergeCell ref="H5:I5"/>
  </mergeCells>
  <conditionalFormatting sqref="N8:N27">
    <cfRule type="colorScale" priority="11">
      <colorScale>
        <cfvo type="min"/>
        <cfvo type="max"/>
        <color rgb="FFF8696B"/>
        <color rgb="FFFCFCFF"/>
      </colorScale>
    </cfRule>
  </conditionalFormatting>
  <conditionalFormatting sqref="M8:M27">
    <cfRule type="colorScale" priority="6">
      <colorScale>
        <cfvo type="min"/>
        <cfvo type="percentile" val="50"/>
        <cfvo type="max"/>
        <color theme="7" tint="-0.249977111117893"/>
        <color theme="7" tint="0.39997558519241921"/>
        <color theme="7" tint="0.59999389629810485"/>
      </colorScale>
    </cfRule>
  </conditionalFormatting>
  <conditionalFormatting sqref="J8:J27">
    <cfRule type="dataBar" priority="3">
      <dataBar>
        <cfvo type="min"/>
        <cfvo type="max"/>
        <color theme="7" tint="0.39997558519241921"/>
      </dataBar>
      <extLst>
        <ext xmlns:x14="http://schemas.microsoft.com/office/spreadsheetml/2009/9/main" uri="{B025F937-C7B1-47D3-B67F-A62EFF666E3E}">
          <x14:id>{B4228139-373A-4575-9391-D4B6CF4FEF4F}</x14:id>
        </ext>
      </extLst>
    </cfRule>
  </conditionalFormatting>
  <conditionalFormatting sqref="L8:L27">
    <cfRule type="dataBar" priority="2">
      <dataBar>
        <cfvo type="min"/>
        <cfvo type="max"/>
        <color theme="7" tint="0.59999389629810485"/>
      </dataBar>
      <extLst>
        <ext xmlns:x14="http://schemas.microsoft.com/office/spreadsheetml/2009/9/main" uri="{B025F937-C7B1-47D3-B67F-A62EFF666E3E}">
          <x14:id>{AD7B5ADE-4C52-4730-9C81-2A5FC26A45BC}</x14:id>
        </ext>
      </extLst>
    </cfRule>
  </conditionalFormatting>
  <conditionalFormatting sqref="K8:K27">
    <cfRule type="colorScale" priority="1">
      <colorScale>
        <cfvo type="min"/>
        <cfvo type="max"/>
        <color theme="7" tint="0.39997558519241921"/>
        <color rgb="FFFCFCFF"/>
      </colorScale>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B4228139-373A-4575-9391-D4B6CF4FEF4F}">
            <x14:dataBar minLength="0" maxLength="100" gradient="0">
              <x14:cfvo type="autoMin"/>
              <x14:cfvo type="autoMax"/>
              <x14:negativeFillColor rgb="FFFF0000"/>
              <x14:axisColor rgb="FF000000"/>
            </x14:dataBar>
          </x14:cfRule>
          <xm:sqref>J8:J27</xm:sqref>
        </x14:conditionalFormatting>
        <x14:conditionalFormatting xmlns:xm="http://schemas.microsoft.com/office/excel/2006/main">
          <x14:cfRule type="dataBar" id="{AD7B5ADE-4C52-4730-9C81-2A5FC26A45BC}">
            <x14:dataBar minLength="0" maxLength="100" gradient="0">
              <x14:cfvo type="autoMin"/>
              <x14:cfvo type="autoMax"/>
              <x14:negativeFillColor rgb="FFFF0000"/>
              <x14:axisColor rgb="FF000000"/>
            </x14:dataBar>
          </x14:cfRule>
          <xm:sqref>L8:L27</xm:sqref>
        </x14:conditionalFormatting>
        <x14:conditionalFormatting xmlns:xm="http://schemas.microsoft.com/office/excel/2006/main">
          <x14:cfRule type="iconSet" priority="5" id="{C1062368-C007-431D-9C6F-74D3E1B0E65F}">
            <x14:iconSet iconSet="3Stars">
              <x14:cfvo type="percent">
                <xm:f>0</xm:f>
              </x14:cfvo>
              <x14:cfvo type="percent">
                <xm:f>33</xm:f>
              </x14:cfvo>
              <x14:cfvo type="percent">
                <xm:f>67</xm:f>
              </x14:cfvo>
            </x14:iconSet>
          </x14:cfRule>
          <xm:sqref>I8:I27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P4"/>
  <sheetViews>
    <sheetView showGridLines="0" tabSelected="1" zoomScale="87" zoomScaleNormal="87" workbookViewId="0">
      <selection activeCell="P32" sqref="P32"/>
    </sheetView>
  </sheetViews>
  <sheetFormatPr defaultRowHeight="14.5" x14ac:dyDescent="0.35"/>
  <cols>
    <col min="8" max="8" width="8.26953125" customWidth="1"/>
    <col min="10" max="10" width="10.453125" customWidth="1"/>
    <col min="15" max="15" width="12.54296875" bestFit="1" customWidth="1"/>
  </cols>
  <sheetData>
    <row r="1" spans="1:16" ht="28.5" x14ac:dyDescent="0.65">
      <c r="A1" s="64" t="s">
        <v>363</v>
      </c>
      <c r="B1" s="64"/>
      <c r="C1" s="64"/>
      <c r="D1" s="64"/>
      <c r="E1" s="64"/>
      <c r="F1" s="64"/>
      <c r="G1" s="64"/>
      <c r="H1" s="64"/>
      <c r="I1" s="64"/>
      <c r="J1" s="64"/>
      <c r="K1" s="64"/>
      <c r="L1" s="64"/>
      <c r="M1" s="64"/>
      <c r="N1" s="64"/>
      <c r="O1" s="64"/>
      <c r="P1" s="64"/>
    </row>
    <row r="3" spans="1:16" x14ac:dyDescent="0.35">
      <c r="C3" s="62" t="s">
        <v>342</v>
      </c>
      <c r="D3" s="62"/>
      <c r="F3" s="62" t="s">
        <v>361</v>
      </c>
      <c r="G3" s="62"/>
      <c r="I3" s="62" t="s">
        <v>362</v>
      </c>
      <c r="J3" s="62"/>
      <c r="L3" s="62" t="s">
        <v>345</v>
      </c>
      <c r="M3" s="62"/>
      <c r="O3" s="62" t="s">
        <v>346</v>
      </c>
      <c r="P3" s="62"/>
    </row>
    <row r="4" spans="1:16" ht="21" x14ac:dyDescent="0.5">
      <c r="C4" s="63">
        <f>COUNTA(Risk_Score!B7:B56)</f>
        <v>50</v>
      </c>
      <c r="D4" s="63"/>
      <c r="F4" s="63">
        <f ca="1">COUNTIF(Risk_Score!N8:N57, "High Risk")</f>
        <v>2</v>
      </c>
      <c r="G4" s="63"/>
      <c r="I4" s="63">
        <f ca="1">COUNTIF(Risk_Score!N8:N57, "Medium Risk")</f>
        <v>42</v>
      </c>
      <c r="J4" s="63"/>
      <c r="L4" s="63">
        <f ca="1">COUNTIF(Risk_Score!N8:N57, "Low Risk")</f>
        <v>6</v>
      </c>
      <c r="M4" s="63"/>
      <c r="O4" s="63">
        <f ca="1">AVERAGE(Risk_Score!M8:M57)</f>
        <v>55.135999999999996</v>
      </c>
      <c r="P4" s="63"/>
    </row>
  </sheetData>
  <mergeCells count="11">
    <mergeCell ref="L3:M3"/>
    <mergeCell ref="L4:M4"/>
    <mergeCell ref="O3:P3"/>
    <mergeCell ref="O4:P4"/>
    <mergeCell ref="A1:P1"/>
    <mergeCell ref="C3:D3"/>
    <mergeCell ref="C4:D4"/>
    <mergeCell ref="F3:G3"/>
    <mergeCell ref="F4:G4"/>
    <mergeCell ref="I3:J3"/>
    <mergeCell ref="I4: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92ACD9-7DD9-4C79-87ED-4A2CD9C727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Lookup_Tables</vt:lpstr>
      <vt:lpstr>Clean_Data</vt:lpstr>
      <vt:lpstr>Pivot</vt:lpstr>
      <vt:lpstr>Risk_Score</vt:lpstr>
      <vt:lpstr>Dashboard</vt:lpstr>
      <vt:lpstr>Dash_board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Asus</cp:lastModifiedBy>
  <cp:revision/>
  <dcterms:created xsi:type="dcterms:W3CDTF">2026-05-14T12:16:52Z</dcterms:created>
  <dcterms:modified xsi:type="dcterms:W3CDTF">2026-06-01T09:27:03Z</dcterms:modified>
  <cp:category/>
  <cp:contentStatus/>
</cp:coreProperties>
</file>